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d9ce756b4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Matrix" sheetId="1" r:id="R47a7a48530fa408b"/>
    <x:sheet xmlns:r="http://schemas.openxmlformats.org/officeDocument/2006/relationships" name="Section Plan" sheetId="2" r:id="Re385864e4eac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sz val="9"/>
      <x:color rgb="FF1F2933"/>
      <x:name val="Arial"/>
    </x:font>
    <x:font>
      <x:sz val="10"/>
      <x:color rgb="FF1F2933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</x:fills>
  <x:borders count="7">
    <x:border/>
    <x:border>
      <x:bottom style="medium">
        <x:color rgb="FF2F75B5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0" fontId="5" fillId="4" borderId="6" xfId="0" applyNumberFormat="1" applyFont="1" applyFill="1" applyBorder="1" applyAlignment="1">
      <x:alignment horizontal="center"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4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horizontal="center"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8" borderId="6" xfId="0" applyNumberFormat="1" applyFont="1" applyFill="1" applyBorder="1" applyAlignment="1">
      <x:alignment horizontal="center" vertical="top" wrapText="1"/>
    </x:xf>
    <x:xf numFmtId="0" fontId="5" fillId="8" borderId="6" xfId="0" applyNumberFormat="1" applyFont="1" applyFill="1" applyBorder="1" applyAlignment="1">
      <x:alignment vertical="top" wrapText="1"/>
    </x:xf>
    <x:xf numFmtId="0" fontId="5" fillId="7" borderId="6" xfId="0" applyNumberFormat="1" applyFont="1" applyFill="1" applyBorder="1" applyAlignment="1">
      <x:alignment horizontal="center" vertical="top" wrapText="1"/>
    </x:xf>
    <x:xf numFmtId="0" fontId="5" fillId="7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65911"/>
      </x:font>
      <x:fill>
        <x:patternFill>
          <x:bgColor rgb="FFFFF2CC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65911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5e63a9e634b52" /><Relationship Type="http://schemas.openxmlformats.org/officeDocument/2006/relationships/theme" Target="/xl/theme/theme1.xml" Id="Rc4020955fbdc44fe" /><Relationship Type="http://schemas.openxmlformats.org/officeDocument/2006/relationships/sharedStrings" Target="/xl/sharedStrings.xml" Id="R9f7ae0cd87b74588" /><Relationship Type="http://schemas.openxmlformats.org/officeDocument/2006/relationships/worksheet" Target="/xl/worksheets/sheet1.xml" Id="R47a7a48530fa408b" /><Relationship Type="http://schemas.openxmlformats.org/officeDocument/2006/relationships/worksheet" Target="/xl/worksheets/sheet2.xml" Id="Re385864e4eac40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20" hidden="0" customWidth="1"/>
    <x:col min="3" max="3" width="8" hidden="0" customWidth="1"/>
    <x:col min="4" max="4" width="42" hidden="0" customWidth="1"/>
    <x:col min="5" max="5" width="23" hidden="0" customWidth="1"/>
    <x:col min="6" max="6" width="28" hidden="0" customWidth="1"/>
    <x:col min="7" max="7" width="22" hidden="0" customWidth="1"/>
    <x:col min="8" max="8" width="13" hidden="0" customWidth="1"/>
    <x:col min="9" max="9" width="43" hidden="0" customWidth="1"/>
    <x:col min="10" max="10" width="40" hidden="0" customWidth="1"/>
    <x:col min="11" max="11" width="11" hidden="0" customWidth="1"/>
    <x:col min="12" max="12" width="24" hidden="0" customWidth="1"/>
    <x:col min="13" max="13" width="29" hidden="0" customWidth="1"/>
    <x:col min="14" max="14" width="20" hidden="0" customWidth="1"/>
    <x:col min="15" max="15" width="48" hidden="0" customWidth="1"/>
    <x:col min="16" max="16" width="60" hidden="0" customWidth="1"/>
    <x:col min="17" max="17" width="38" hidden="0" customWidth="1"/>
  </x:cols>
  <x:sheetData>
    <x:row r="2">
      <x:c r="A2" s="2" t="str">
        <x:v>Chapter 2 Source-to-Section Matrix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Working research map as of 19 September 2026. Publication status and APA fields marked as pending must be rechecked against official records before submission.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A4" s="6" t="str">
        <x:v>Total sources</x:v>
      </x:c>
      <x:c r="B4" s="7" t="n">
        <x:v>35</x:v>
      </x:c>
      <x:c r="C4" s="7"/>
      <x:c r="D4" s="7" t="str">
        <x:v>Published works</x:v>
      </x:c>
      <x:c r="E4" s="7" t="n">
        <x:v>33</x:v>
      </x:c>
      <x:c r="F4" s="7"/>
      <x:c r="G4" s="7" t="str">
        <x:v>Preprints</x:v>
      </x:c>
      <x:c r="H4" s="7" t="n">
        <x:v>2</x:v>
      </x:c>
      <x:c r="I4" s="7"/>
      <x:c r="J4" s="7" t="str">
        <x:v>High-priority anchors</x:v>
      </x:c>
      <x:c r="K4" s="8" t="n">
        <x:v>19</x:v>
      </x:c>
    </x:row>
    <x:row r="6" ht="32" customHeight="1">
      <x:c r="A6" s="13" t="str">
        <x:v>ID</x:v>
      </x:c>
      <x:c r="B6" s="13" t="str">
        <x:v>Short citation</x:v>
      </x:c>
      <x:c r="C6" s="13" t="str">
        <x:v>Year</x:v>
      </x:c>
      <x:c r="D6" s="13" t="str">
        <x:v>Title</x:v>
      </x:c>
      <x:c r="E6" s="13" t="str">
        <x:v>Source type</x:v>
      </x:c>
      <x:c r="F6" s="13" t="str">
        <x:v>Primary section</x:v>
      </x:c>
      <x:c r="G6" s="13" t="str">
        <x:v>Supporting sections</x:v>
      </x:c>
      <x:c r="H6" s="13" t="str">
        <x:v>Role</x:v>
      </x:c>
      <x:c r="I6" s="13" t="str">
        <x:v>Key evidence for Chapter 2</x:v>
      </x:c>
      <x:c r="J6" s="13" t="str">
        <x:v>Boundary or caution</x:v>
      </x:c>
      <x:c r="K6" s="13" t="str">
        <x:v>Priority</x:v>
      </x:c>
      <x:c r="L6" s="13" t="str">
        <x:v>Publication status</x:v>
      </x:c>
      <x:c r="M6" s="13" t="str">
        <x:v>Metadata verification</x:v>
      </x:c>
      <x:c r="N6" s="13" t="str">
        <x:v>Full-text status</x:v>
      </x:c>
      <x:c r="O6" s="13" t="str">
        <x:v>Official source or DOI</x:v>
      </x:c>
      <x:c r="P6" s="13" t="str">
        <x:v>APA 7 working reference</x:v>
      </x:c>
      <x:c r="Q6" s="13" t="str">
        <x:v>Next verification action</x:v>
      </x:c>
    </x:row>
    <x:row r="7" ht="60" customHeight="1">
      <x:c r="A7" s="19" t="n">
        <x:v>1</x:v>
      </x:c>
      <x:c r="B7" s="17" t="str">
        <x:v>Zhu et al. (2023)</x:v>
      </x:c>
      <x:c r="C7" s="19" t="n">
        <x:v>2023</x:v>
      </x:c>
      <x:c r="D7" s="17" t="str">
        <x:v>GenImage: A Million-Scale Benchmark for Detecting AI-Generated Image</x:v>
      </x:c>
      <x:c r="E7" s="17" t="str">
        <x:v>Conference benchmark</x:v>
      </x:c>
      <x:c r="F7" s="17" t="str">
        <x:v>2.2 AI-Generated Image Detection</x:v>
      </x:c>
      <x:c r="G7" s="17" t="str">
        <x:v>2.3; 2.7; 2.9; 2.10</x:v>
      </x:c>
      <x:c r="H7" s="17" t="str">
        <x:v>Anchor</x:v>
      </x:c>
      <x:c r="I7" s="17" t="str">
        <x:v>Cross-generator and degraded-image evaluation tasks; large real/fake benchmark.</x:v>
      </x:c>
      <x:c r="J7" s="17" t="str">
        <x:v>Natural-image benchmark; does not test the proposed text-region handcrafted pipeline.</x:v>
      </x:c>
      <x:c r="K7" s="19" t="str">
        <x:v>High</x:v>
      </x:c>
      <x:c r="L7" s="19" t="str">
        <x:v>Published — NeurIPS 2023</x:v>
      </x:c>
      <x:c r="M7" s="19" t="str">
        <x:v>Core metadata verified</x:v>
      </x:c>
      <x:c r="N7" s="19" t="str">
        <x:v>Full paper available</x:v>
      </x:c>
      <x:c r="O7" s="17" t="str">
        <x:v>https://papers.nips.cc/paper/2023/hash/f4d4a021f9051a6c18183b059117e8b5-Abstract-Datasets_and_Benchmarks.html</x:v>
      </x:c>
      <x:c r="P7" s="17" t="str">
        <x:v>Zhu, M., et al. (2023). GenImage: A million-scale benchmark for detecting AI-generated image. Advances in Neural Information Processing Systems, 36. https://doi.org/10.52202/075280-3398</x:v>
      </x:c>
      <x:c r="Q7" s="17" t="str">
        <x:v>Confirm page range or article identifier in final APA list.</x:v>
      </x:c>
    </x:row>
    <x:row r="8" ht="60" customHeight="1">
      <x:c r="A8" s="21" t="n">
        <x:v>2</x:v>
      </x:c>
      <x:c r="B8" s="22" t="str">
        <x:v>Ojha et al. (2023)</x:v>
      </x:c>
      <x:c r="C8" s="21" t="n">
        <x:v>2023</x:v>
      </x:c>
      <x:c r="D8" s="22" t="str">
        <x:v>Towards Universal Fake Image Detectors That Generalize Across Generative Models</x:v>
      </x:c>
      <x:c r="E8" s="22" t="str">
        <x:v>Conference method</x:v>
      </x:c>
      <x:c r="F8" s="22" t="str">
        <x:v>2.2 AI-Generated Image Detection</x:v>
      </x:c>
      <x:c r="G8" s="22" t="str">
        <x:v>2.5; 2.7; 2.9; 2.10</x:v>
      </x:c>
      <x:c r="H8" s="22" t="str">
        <x:v>Anchor</x:v>
      </x:c>
      <x:c r="I8" s="22" t="str">
        <x:v>Establishes cross-model generalization as a central detector requirement.</x:v>
      </x:c>
      <x:c r="J8" s="22" t="str">
        <x:v>Uses pretrained visual representations rather than handcrafted regional measurements.</x:v>
      </x:c>
      <x:c r="K8" s="21" t="str">
        <x:v>High</x:v>
      </x:c>
      <x:c r="L8" s="21" t="str">
        <x:v>Published — CVPR 2023</x:v>
      </x:c>
      <x:c r="M8" s="21" t="str">
        <x:v>Official record verified; APA fields pending</x:v>
      </x:c>
      <x:c r="N8" s="21" t="str">
        <x:v>Full paper available</x:v>
      </x:c>
      <x:c r="O8" s="22" t="str">
        <x:v>https://openaccess.thecvf.com/content/CVPR2023/html/Ojha_Towards_Universal_Fake_Image_Detectors_That_Generalize_Across_Generative_Models_CVPR_2023_paper.html</x:v>
      </x:c>
      <x:c r="P8" s="22" t="str">
        <x:v>Ojha, U., et al. (2023). Towards universal fake image detectors that generalize across generative models. In CVPR.</x:v>
      </x:c>
      <x:c r="Q8" s="22" t="str">
        <x:v>Verify full author list, pages, and DOI.</x:v>
      </x:c>
    </x:row>
    <x:row r="9" ht="60" customHeight="1">
      <x:c r="A9" s="20" t="n">
        <x:v>3</x:v>
      </x:c>
      <x:c r="B9" s="18" t="str">
        <x:v>Yan et al. (2025)</x:v>
      </x:c>
      <x:c r="C9" s="20" t="n">
        <x:v>2025</x:v>
      </x:c>
      <x:c r="D9" s="18" t="str">
        <x:v>A Sanity Check for AI-Generated Image Detection</x:v>
      </x:c>
      <x:c r="E9" s="18" t="str">
        <x:v>Conference method and benchmark</x:v>
      </x:c>
      <x:c r="F9" s="18" t="str">
        <x:v>2.2 AI-Generated Image Detection</x:v>
      </x:c>
      <x:c r="G9" s="18" t="str">
        <x:v>2.7; 2.9; 2.10</x:v>
      </x:c>
      <x:c r="H9" s="18" t="str">
        <x:v>Anchor</x:v>
      </x:c>
      <x:c r="I9" s="18" t="str">
        <x:v>Shows persistent failures on challenging images and motivates hybrid low- and high-level evidence.</x:v>
      </x:c>
      <x:c r="J9" s="18" t="str">
        <x:v>AIDE includes semantic CLIP features, which are outside the proposed feature boundary.</x:v>
      </x:c>
      <x:c r="K9" s="20" t="str">
        <x:v>High</x:v>
      </x:c>
      <x:c r="L9" s="20" t="str">
        <x:v>Published — ICLR 2025</x:v>
      </x:c>
      <x:c r="M9" s="20" t="str">
        <x:v>Title, authors, and venue verified</x:v>
      </x:c>
      <x:c r="N9" s="20" t="str">
        <x:v>Full paper available</x:v>
      </x:c>
      <x:c r="O9" s="18" t="str">
        <x:v>https://openreview.net/forum?id=FSB1dyK3ik</x:v>
      </x:c>
      <x:c r="P9" s="18" t="str">
        <x:v>Yan, S., Li, O., Cai, J., Hao, Y., Jiang, X., Hu, Y., &amp; Xie, W. (2025). A sanity check for AI-generated image detection. ICLR.</x:v>
      </x:c>
      <x:c r="Q9" s="18" t="str">
        <x:v>Confirm official proceedings citation format.</x:v>
      </x:c>
    </x:row>
    <x:row r="10" ht="60" customHeight="1">
      <x:c r="A10" s="21" t="n">
        <x:v>4</x:v>
      </x:c>
      <x:c r="B10" s="22" t="str">
        <x:v>Park et al. (2025)</x:v>
      </x:c>
      <x:c r="C10" s="21" t="n">
        <x:v>2025</x:v>
      </x:c>
      <x:c r="D10" s="22" t="str">
        <x:v>Community Forensics: Using Thousands of Generators to Train Fake Image Detectors</x:v>
      </x:c>
      <x:c r="E10" s="22" t="str">
        <x:v>Conference method</x:v>
      </x:c>
      <x:c r="F10" s="22" t="str">
        <x:v>2.2 AI-Generated Image Detection</x:v>
      </x:c>
      <x:c r="G10" s="22" t="str">
        <x:v>2.3; 2.7; 2.9</x:v>
      </x:c>
      <x:c r="H10" s="22" t="str">
        <x:v>Support</x:v>
      </x:c>
      <x:c r="I10" s="22" t="str">
        <x:v>Generator diversity supports broader training coverage and generalization.</x:v>
      </x:c>
      <x:c r="J10" s="22" t="str">
        <x:v>Not text-specific and not based on interpretable text-region measurements.</x:v>
      </x:c>
      <x:c r="K10" s="21" t="str">
        <x:v>Medium</x:v>
      </x:c>
      <x:c r="L10" s="21" t="str">
        <x:v>Published — CVPR 2025</x:v>
      </x:c>
      <x:c r="M10" s="21" t="str">
        <x:v>Official record verified; APA fields pending</x:v>
      </x:c>
      <x:c r="N10" s="21" t="str">
        <x:v>Full paper available</x:v>
      </x:c>
      <x:c r="O10" s="22" t="str">
        <x:v>https://openaccess.thecvf.com/content/CVPR2025/html/Park_Community_Forensics_Using_Thousands_of_Generators_to_Train_Fake_Image_CVPR_2025_paper.html</x:v>
      </x:c>
      <x:c r="P10" s="22" t="str">
        <x:v>Park, et al. (2025). Community forensics: Using thousands of generators to train fake image detectors. In CVPR.</x:v>
      </x:c>
      <x:c r="Q10" s="22" t="str">
        <x:v>Verify complete author list, pages, and DOI.</x:v>
      </x:c>
    </x:row>
    <x:row r="11" ht="60" customHeight="1">
      <x:c r="A11" s="20" t="n">
        <x:v>5</x:v>
      </x:c>
      <x:c r="B11" s="18" t="str">
        <x:v>Gye et al. (2025)</x:v>
      </x:c>
      <x:c r="C11" s="20" t="n">
        <x:v>2025</x:v>
      </x:c>
      <x:c r="D11" s="18" t="str">
        <x:v>SFLD: Reducing the Content Bias for AI-Generated Image Detection</x:v>
      </x:c>
      <x:c r="E11" s="18" t="str">
        <x:v>Conference method and benchmark</x:v>
      </x:c>
      <x:c r="F11" s="18" t="str">
        <x:v>2.2 AI-Generated Image Detection</x:v>
      </x:c>
      <x:c r="G11" s="18" t="str">
        <x:v>2.3; 2.5; 2.7; 2.9</x:v>
      </x:c>
      <x:c r="H11" s="18" t="str">
        <x:v>Anchor</x:v>
      </x:c>
      <x:c r="I11" s="18" t="str">
        <x:v>Addresses content bias, unseen generators, degradation, and paired real/synthetic evaluation through TwinSynths.</x:v>
      </x:c>
      <x:c r="J11" s="18" t="str">
        <x:v>Uses CLIP and patch shuffling, not the proposed traditional ML pipeline.</x:v>
      </x:c>
      <x:c r="K11" s="20" t="str">
        <x:v>High</x:v>
      </x:c>
      <x:c r="L11" s="20" t="str">
        <x:v>Published — WACV 2025</x:v>
      </x:c>
      <x:c r="M11" s="20" t="str">
        <x:v>Title, authors, and venue verified</x:v>
      </x:c>
      <x:c r="N11" s="20" t="str">
        <x:v>Full paper available</x:v>
      </x:c>
      <x:c r="O11" s="18" t="str">
        <x:v>https://openaccess.thecvf.com/content/WACV2025/html/Gye_Reducing_the_Content_Bias_for_AI-Generated_Image_Detection_WACV_2025_paper.html</x:v>
      </x:c>
      <x:c r="P11" s="18" t="str">
        <x:v>Gye, S., Ko, J., Shon, H., Kwon, M., &amp; Kim, J. (2025). SFLD: Reducing the content bias for AI-generated image detection. In WACV.</x:v>
      </x:c>
      <x:c r="Q11" s="18" t="str">
        <x:v>Verify official page range and DOI.</x:v>
      </x:c>
    </x:row>
    <x:row r="12" ht="60" customHeight="1">
      <x:c r="A12" s="21" t="n">
        <x:v>6</x:v>
      </x:c>
      <x:c r="B12" s="22" t="str">
        <x:v>Li et al. (2025)</x:v>
      </x:c>
      <x:c r="C12" s="21" t="n">
        <x:v>2025</x:v>
      </x:c>
      <x:c r="D12" s="22" t="str">
        <x:v>Bridging the Gap Between Ideal and Real-World Evaluation: Benchmarking AI-Generated Image Detection</x:v>
      </x:c>
      <x:c r="E12" s="22" t="str">
        <x:v>Conference benchmark</x:v>
      </x:c>
      <x:c r="F12" s="22" t="str">
        <x:v>2.7 Evaluation and Reliability</x:v>
      </x:c>
      <x:c r="G12" s="22" t="str">
        <x:v>2.2; 2.3; 2.9; 2.10</x:v>
      </x:c>
      <x:c r="H12" s="22" t="str">
        <x:v>Anchor</x:v>
      </x:c>
      <x:c r="I12" s="22" t="str">
        <x:v>Frames realistic evaluation conditions and the limitations of idealized benchmark results.</x:v>
      </x:c>
      <x:c r="J12" s="22" t="str">
        <x:v>Exact author list and final bibliographic fields still require checking.</x:v>
      </x:c>
      <x:c r="K12" s="21" t="str">
        <x:v>High</x:v>
      </x:c>
      <x:c r="L12" s="21" t="str">
        <x:v>Published — ICCV 2025</x:v>
      </x:c>
      <x:c r="M12" s="21" t="str">
        <x:v>Official record verified; APA fields pending</x:v>
      </x:c>
      <x:c r="N12" s="21" t="str">
        <x:v>Full paper available</x:v>
      </x:c>
      <x:c r="O12" s="22" t="str">
        <x:v>https://openaccess.thecvf.com/content/ICCV2025/html/Li_Bridging_the_Gap_Between_Ideal_and_Real-world_Evaluation_Benchmarking_AI-Generated_ICCV_2025_paper.html</x:v>
      </x:c>
      <x:c r="P12" s="22" t="str">
        <x:v>Li, et al. (2025). Bridging the gap between ideal and real-world evaluation: Benchmarking AI-generated image detection. In ICCV.</x:v>
      </x:c>
      <x:c r="Q12" s="22" t="str">
        <x:v>Verify full author list, pages, and DOI.</x:v>
      </x:c>
    </x:row>
    <x:row r="13" ht="60" customHeight="1">
      <x:c r="A13" s="20" t="n">
        <x:v>7</x:v>
      </x:c>
      <x:c r="B13" s="18" t="str">
        <x:v>Bird and Lotfi (2024)</x:v>
      </x:c>
      <x:c r="C13" s="20" t="n">
        <x:v>2024</x:v>
      </x:c>
      <x:c r="D13" s="18" t="str">
        <x:v>CIFAKE: Image Classification and Explainable Identification of AI-Generated Synthetic Images</x:v>
      </x:c>
      <x:c r="E13" s="18" t="str">
        <x:v>Journal dataset and method</x:v>
      </x:c>
      <x:c r="F13" s="18" t="str">
        <x:v>2.3 Text-Rich Images and Data</x:v>
      </x:c>
      <x:c r="G13" s="18" t="str">
        <x:v>2.2; 2.7; 2.9</x:v>
      </x:c>
      <x:c r="H13" s="18" t="str">
        <x:v>Support</x:v>
      </x:c>
      <x:c r="I13" s="18" t="str">
        <x:v>Provides a public binary real-versus-synthetic image dataset and explainability context.</x:v>
      </x:c>
      <x:c r="J13" s="18" t="str">
        <x:v>Natural-image classes and CNN-based approach; not a text-rich benchmark.</x:v>
      </x:c>
      <x:c r="K13" s="20" t="str">
        <x:v>Medium</x:v>
      </x:c>
      <x:c r="L13" s="20" t="str">
        <x:v>Published — IEEE Access</x:v>
      </x:c>
      <x:c r="M13" s="20" t="str">
        <x:v>Official record found; exact APA fields pending</x:v>
      </x:c>
      <x:c r="N13" s="20" t="str">
        <x:v>Full paper available</x:v>
      </x:c>
      <x:c r="O13" s="18" t="str">
        <x:v>https://ieeexplore.ieee.org/document/10409290</x:v>
      </x:c>
      <x:c r="P13" s="18" t="str">
        <x:v>Bird, J. J., &amp; Lotfi, A. (2024). CIFAKE: Image classification and explainable identification of AI-generated synthetic images. IEEE Access.</x:v>
      </x:c>
      <x:c r="Q13" s="18" t="str">
        <x:v>Confirm volume, pages or article number, and DOI from IEEE Xplore.</x:v>
      </x:c>
    </x:row>
    <x:row r="14" ht="60" customHeight="1">
      <x:c r="A14" s="21" t="n">
        <x:v>8</x:v>
      </x:c>
      <x:c r="B14" s="22" t="str">
        <x:v>Zhang et al. (2026)</x:v>
      </x:c>
      <x:c r="C14" s="21" t="n">
        <x:v>2026</x:v>
      </x:c>
      <x:c r="D14" s="22" t="str">
        <x:v>TextFake: Benchmarking AI-Generated Image Detection on Text-Rich Images</x:v>
      </x:c>
      <x:c r="E14" s="22" t="str">
        <x:v>Preprint benchmark</x:v>
      </x:c>
      <x:c r="F14" s="22" t="str">
        <x:v>2.3 Text-Rich Images and Data</x:v>
      </x:c>
      <x:c r="G14" s="22" t="str">
        <x:v>2.2; 2.5; 2.7; 2.9; 2.10</x:v>
      </x:c>
      <x:c r="H14" s="22" t="str">
        <x:v>Anchor</x:v>
      </x:c>
      <x:c r="I14" s="22" t="str">
        <x:v>Directly studies text-rich images, text density, scene type, rendering fidelity, and perturbation sensitivity.</x:v>
      </x:c>
      <x:c r="J14" s="22" t="str">
        <x:v>arXiv v1 only as checked; must not be presented as peer-reviewed.</x:v>
      </x:c>
      <x:c r="K14" s="21" t="str">
        <x:v>High</x:v>
      </x:c>
      <x:c r="L14" s="21" t="str">
        <x:v>Preprint — arXiv</x:v>
      </x:c>
      <x:c r="M14" s="21" t="str">
        <x:v>Preprint metadata verified</x:v>
      </x:c>
      <x:c r="N14" s="21" t="str">
        <x:v>Full preprint available</x:v>
      </x:c>
      <x:c r="O14" s="22" t="str">
        <x:v>https://arxiv.org/html/2606.01050</x:v>
      </x:c>
      <x:c r="P14" s="22" t="str">
        <x:v>Zhang, Y., Miao, C., Liao, M., Liu, T., Wang, X., Gong, T., Chu, Q., &amp; Yu, N. (2026). TextFake: Benchmarking AI-generated image detection on text-rich images [Preprint]. arXiv.</x:v>
      </x:c>
      <x:c r="Q14" s="22" t="str">
        <x:v>Recheck for a peer-reviewed version before thesis submission.</x:v>
      </x:c>
    </x:row>
    <x:row r="15" ht="60" customHeight="1">
      <x:c r="A15" s="20" t="n">
        <x:v>9</x:v>
      </x:c>
      <x:c r="B15" s="18" t="str">
        <x:v>Liao et al. (2022)</x:v>
      </x:c>
      <x:c r="C15" s="20" t="n">
        <x:v>2022</x:v>
      </x:c>
      <x:c r="D15" s="18" t="str">
        <x:v>Real-Time Scene Text Detection With Differentiable Binarization and Adaptive Scale Fusion</x:v>
      </x:c>
      <x:c r="E15" s="18" t="str">
        <x:v>Journal localization method</x:v>
      </x:c>
      <x:c r="F15" s="18" t="str">
        <x:v>2.4 Text-Region Detection</x:v>
      </x:c>
      <x:c r="G15" s="18" t="str">
        <x:v>2.3; 2.5; 2.11</x:v>
      </x:c>
      <x:c r="H15" s="18" t="str">
        <x:v>Anchor</x:v>
      </x:c>
      <x:c r="I15" s="18" t="str">
        <x:v>Supports efficient scene-text localization across scales using DBNet++.</x:v>
      </x:c>
      <x:c r="J15" s="18" t="str">
        <x:v>Localization only; it does not classify image authenticity.</x:v>
      </x:c>
      <x:c r="K15" s="20" t="str">
        <x:v>High</x:v>
      </x:c>
      <x:c r="L15" s="20" t="str">
        <x:v>Published — IEEE TPAMI</x:v>
      </x:c>
      <x:c r="M15" s="20" t="str">
        <x:v>Official record verified; APA fields pending</x:v>
      </x:c>
      <x:c r="N15" s="20" t="str">
        <x:v>Full paper available</x:v>
      </x:c>
      <x:c r="O15" s="18" t="str">
        <x:v>https://ieeexplore.ieee.org/document/9726868</x:v>
      </x:c>
      <x:c r="P15" s="18" t="str">
        <x:v>Liao, M., et al. (2022). Real-time scene text detection with differentiable binarization and adaptive scale fusion. IEEE TPAMI.</x:v>
      </x:c>
      <x:c r="Q15" s="18" t="str">
        <x:v>Verify full authors, volume, issue, pages, and DOI.</x:v>
      </x:c>
    </x:row>
    <x:row r="16" ht="60" customHeight="1">
      <x:c r="A16" s="21" t="n">
        <x:v>10</x:v>
      </x:c>
      <x:c r="B16" s="22" t="str">
        <x:v>Zhang et al. (2021)</x:v>
      </x:c>
      <x:c r="C16" s="21" t="n">
        <x:v>2021</x:v>
      </x:c>
      <x:c r="D16" s="22" t="str">
        <x:v>Adaptive Boundary Proposal Network for Arbitrary Shape Text Detection</x:v>
      </x:c>
      <x:c r="E16" s="22" t="str">
        <x:v>Conference localization method</x:v>
      </x:c>
      <x:c r="F16" s="22" t="str">
        <x:v>2.4 Text-Region Detection</x:v>
      </x:c>
      <x:c r="G16" s="22" t="str">
        <x:v>2.5; 2.11</x:v>
      </x:c>
      <x:c r="H16" s="22" t="str">
        <x:v>Support</x:v>
      </x:c>
      <x:c r="I16" s="22" t="str">
        <x:v>Supports refined boundaries for arbitrary-shaped text regions.</x:v>
      </x:c>
      <x:c r="J16" s="22" t="str">
        <x:v>May be more complex than necessary for the proposed baseline localization stage.</x:v>
      </x:c>
      <x:c r="K16" s="21" t="str">
        <x:v>Medium</x:v>
      </x:c>
      <x:c r="L16" s="21" t="str">
        <x:v>Published — ICCV 2021</x:v>
      </x:c>
      <x:c r="M16" s="21" t="str">
        <x:v>Official record verified; APA fields pending</x:v>
      </x:c>
      <x:c r="N16" s="21" t="str">
        <x:v>Full paper available</x:v>
      </x:c>
      <x:c r="O16" s="22" t="str">
        <x:v>https://openaccess.thecvf.com/content/ICCV2021/html/Zhang_Adaptive_Boundary_Proposal_Network_for_Arbitrary_Shape_Text_Detection_ICCV_2021_paper.html</x:v>
      </x:c>
      <x:c r="P16" s="22" t="str">
        <x:v>Zhang, et al. (2021). Adaptive boundary proposal network for arbitrary shape text detection. In ICCV.</x:v>
      </x:c>
      <x:c r="Q16" s="22" t="str">
        <x:v>Verify author list, pages, and DOI.</x:v>
      </x:c>
    </x:row>
    <x:row r="17" ht="60" customHeight="1">
      <x:c r="A17" s="20" t="n">
        <x:v>11</x:v>
      </x:c>
      <x:c r="B17" s="18" t="str">
        <x:v>Baek et al. (2019)</x:v>
      </x:c>
      <x:c r="C17" s="20" t="n">
        <x:v>2019</x:v>
      </x:c>
      <x:c r="D17" s="18" t="str">
        <x:v>Character Region Awareness for Text Detection</x:v>
      </x:c>
      <x:c r="E17" s="18" t="str">
        <x:v>Conference localization method</x:v>
      </x:c>
      <x:c r="F17" s="18" t="str">
        <x:v>2.4 Text-Region Detection</x:v>
      </x:c>
      <x:c r="G17" s="18" t="str">
        <x:v>2.5; 2.11</x:v>
      </x:c>
      <x:c r="H17" s="18" t="str">
        <x:v>Anchor</x:v>
      </x:c>
      <x:c r="I17" s="18" t="str">
        <x:v>Character-region and affinity modeling supports fine-grained text localization.</x:v>
      </x:c>
      <x:c r="J17" s="18" t="str">
        <x:v>Older foundational method; localization is not authenticity classification.</x:v>
      </x:c>
      <x:c r="K17" s="20" t="str">
        <x:v>High</x:v>
      </x:c>
      <x:c r="L17" s="20" t="str">
        <x:v>Published — CVPR 2019</x:v>
      </x:c>
      <x:c r="M17" s="20" t="str">
        <x:v>Official record verified; APA fields pending</x:v>
      </x:c>
      <x:c r="N17" s="20" t="str">
        <x:v>Full paper available</x:v>
      </x:c>
      <x:c r="O17" s="18" t="str">
        <x:v>https://openaccess.thecvf.com/content_CVPR_2019/html/Baek_Character_Region_Awareness_for_Text_Detection_CVPR_2019_paper.html</x:v>
      </x:c>
      <x:c r="P17" s="18" t="str">
        <x:v>Baek, Y., et al. (2019). Character region awareness for text detection. In CVPR.</x:v>
      </x:c>
      <x:c r="Q17" s="18" t="str">
        <x:v>Verify complete authors and page range.</x:v>
      </x:c>
    </x:row>
    <x:row r="18" ht="60" customHeight="1">
      <x:c r="A18" s="21" t="n">
        <x:v>12</x:v>
      </x:c>
      <x:c r="B18" s="22" t="str">
        <x:v>Epshtein et al. (2010)</x:v>
      </x:c>
      <x:c r="C18" s="21" t="n">
        <x:v>2010</x:v>
      </x:c>
      <x:c r="D18" s="22" t="str">
        <x:v>Detecting Text in Natural Scenes With Stroke Width Transform</x:v>
      </x:c>
      <x:c r="E18" s="22" t="str">
        <x:v>Conference foundational method</x:v>
      </x:c>
      <x:c r="F18" s="22" t="str">
        <x:v>2.5 Visual Text-Region Features</x:v>
      </x:c>
      <x:c r="G18" s="22" t="str">
        <x:v>2.4; 2.9; 2.11</x:v>
      </x:c>
      <x:c r="H18" s="22" t="str">
        <x:v>Anchor</x:v>
      </x:c>
      <x:c r="I18" s="22" t="str">
        <x:v>Provides the foundational rationale for stroke-width consistency as a measurable text property.</x:v>
      </x:c>
      <x:c r="J18" s="22" t="str">
        <x:v>Designed for detecting text, not distinguishing AI-generated images.</x:v>
      </x:c>
      <x:c r="K18" s="21" t="str">
        <x:v>High</x:v>
      </x:c>
      <x:c r="L18" s="21" t="str">
        <x:v>Published — CVPR 2010</x:v>
      </x:c>
      <x:c r="M18" s="21" t="str">
        <x:v>Core metadata verified</x:v>
      </x:c>
      <x:c r="N18" s="21" t="str">
        <x:v>Full paper available</x:v>
      </x:c>
      <x:c r="O18" s="22" t="str">
        <x:v>https://www.microsoft.com/en-us/research/wp-content/uploads/2016/02/201020CVPR20TextDetection.pdf</x:v>
      </x:c>
      <x:c r="P18" s="22" t="str">
        <x:v>Epshtein, B., Ofek, E., &amp; Wexler, Y. (2010). Detecting text in natural scenes with stroke width transform. In CVPR.</x:v>
      </x:c>
      <x:c r="Q18" s="22" t="str">
        <x:v>Verify official IEEE pages and DOI.</x:v>
      </x:c>
    </x:row>
    <x:row r="19" ht="60" customHeight="1">
      <x:c r="A19" s="20" t="n">
        <x:v>13</x:v>
      </x:c>
      <x:c r="B19" s="18" t="str">
        <x:v>Li et al. (2018)</x:v>
      </x:c>
      <x:c r="C19" s="20" t="n">
        <x:v>2018</x:v>
      </x:c>
      <x:c r="D19" s="18" t="str">
        <x:v>No-Reference Quality Assessment of Camera-Captured Document Images Based on Quality-Aware Features</x:v>
      </x:c>
      <x:c r="E19" s="18" t="str">
        <x:v>Conference document-quality method</x:v>
      </x:c>
      <x:c r="F19" s="18" t="str">
        <x:v>2.5 Visual Text-Region Features</x:v>
      </x:c>
      <x:c r="G19" s="18" t="str">
        <x:v>2.4; 2.9</x:v>
      </x:c>
      <x:c r="H19" s="18" t="str">
        <x:v>Anchor</x:v>
      </x:c>
      <x:c r="I19" s="18" t="str">
        <x:v>Character-centered regions motivate edge, sharpness, contrast, and quality measurements.</x:v>
      </x:c>
      <x:c r="J19" s="18" t="str">
        <x:v>Document-image quality assessment rather than AI-generated image detection.</x:v>
      </x:c>
      <x:c r="K19" s="20" t="str">
        <x:v>High</x:v>
      </x:c>
      <x:c r="L19" s="20" t="str">
        <x:v>Published — ICPR 2018</x:v>
      </x:c>
      <x:c r="M19" s="20" t="str">
        <x:v>Title and venue verified; APA fields pending</x:v>
      </x:c>
      <x:c r="N19" s="20" t="str">
        <x:v>Full paper available</x:v>
      </x:c>
      <x:c r="O19" s="18" t="str">
        <x:v>https://arxiv.org/pdf/1807.04047.pdf</x:v>
      </x:c>
      <x:c r="P19" s="18" t="str">
        <x:v>Li, J., Zhu, J., Qiu, T., et al. (2018). No-reference quality assessment of camera-captured document images based on quality-aware features. In ICPR.</x:v>
      </x:c>
      <x:c r="Q19" s="18" t="str">
        <x:v>Verify complete author list, pages, and DOI 10.1109/ICPR.2018.8545433.</x:v>
      </x:c>
    </x:row>
    <x:row r="20" ht="60" customHeight="1">
      <x:c r="A20" s="21" t="n">
        <x:v>14</x:v>
      </x:c>
      <x:c r="B20" s="22" t="str">
        <x:v>Chai et al. (2020)</x:v>
      </x:c>
      <x:c r="C20" s="21" t="n">
        <x:v>2020</x:v>
      </x:c>
      <x:c r="D20" s="22" t="str">
        <x:v>What Makes Fake Images Detectable? Understanding Properties That Generalize</x:v>
      </x:c>
      <x:c r="E20" s="22" t="str">
        <x:v>Conference forensic analysis</x:v>
      </x:c>
      <x:c r="F20" s="22" t="str">
        <x:v>2.5 Visual Text-Region Features</x:v>
      </x:c>
      <x:c r="G20" s="22" t="str">
        <x:v>2.2; 2.7; 2.9; 2.10</x:v>
      </x:c>
      <x:c r="H20" s="22" t="str">
        <x:v>Anchor</x:v>
      </x:c>
      <x:c r="I20" s="22" t="str">
        <x:v>Shows that localized patches can contain transferable synthetic-image artifacts.</x:v>
      </x:c>
      <x:c r="J20" s="22" t="str">
        <x:v>Evidence is mainly GAN and face oriented; transfer to text regions remains a testable hypothesis.</x:v>
      </x:c>
      <x:c r="K20" s="21" t="str">
        <x:v>High</x:v>
      </x:c>
      <x:c r="L20" s="21" t="str">
        <x:v>Published — ECCV 2020</x:v>
      </x:c>
      <x:c r="M20" s="21" t="str">
        <x:v>Official paper verified; APA fields pending</x:v>
      </x:c>
      <x:c r="N20" s="21" t="str">
        <x:v>Full paper available</x:v>
      </x:c>
      <x:c r="O20" s="22" t="str">
        <x:v>https://www.ecva.net/papers/eccv_2020/papers_ECCV/papers/123710103.pdf</x:v>
      </x:c>
      <x:c r="P20" s="22" t="str">
        <x:v>Chai, L., Bau, D., Lim, S.-N., &amp; Isola, P. (2020). What makes fake images detectable? Understanding properties that generalize. In ECCV.</x:v>
      </x:c>
      <x:c r="Q20" s="22" t="str">
        <x:v>Verify proceedings volume, pages, and DOI.</x:v>
      </x:c>
    </x:row>
    <x:row r="21" ht="60" customHeight="1">
      <x:c r="A21" s="20" t="n">
        <x:v>15</x:v>
      </x:c>
      <x:c r="B21" s="18" t="str">
        <x:v>Tan et al. (2023)</x:v>
      </x:c>
      <x:c r="C21" s="20" t="n">
        <x:v>2023</x:v>
      </x:c>
      <x:c r="D21" s="18" t="str">
        <x:v>Learning on Gradients: Generalized Artifacts Representation for GAN-Generated Images Detection</x:v>
      </x:c>
      <x:c r="E21" s="18" t="str">
        <x:v>Conference forensic method</x:v>
      </x:c>
      <x:c r="F21" s="18" t="str">
        <x:v>2.5 Visual Text-Region Features</x:v>
      </x:c>
      <x:c r="G21" s="18" t="str">
        <x:v>2.2; 2.7; 2.9</x:v>
      </x:c>
      <x:c r="H21" s="18" t="str">
        <x:v>Support</x:v>
      </x:c>
      <x:c r="I21" s="18" t="str">
        <x:v>Motivates gradient distributions and edge behavior as forensic evidence.</x:v>
      </x:c>
      <x:c r="J21" s="18" t="str">
        <x:v>Uses a learned whole-image detector and is not text-specific.</x:v>
      </x:c>
      <x:c r="K21" s="20" t="str">
        <x:v>Medium</x:v>
      </x:c>
      <x:c r="L21" s="20" t="str">
        <x:v>Published — CVPR 2023</x:v>
      </x:c>
      <x:c r="M21" s="20" t="str">
        <x:v>Official record verified; APA fields pending</x:v>
      </x:c>
      <x:c r="N21" s="20" t="str">
        <x:v>Full paper available</x:v>
      </x:c>
      <x:c r="O21" s="18" t="str">
        <x:v>https://openaccess.thecvf.com/content/CVPR2023/html/Tan_Learning_on_Gradients_Generalized_Artifacts_Representation_for_GAN-Generated_Images_Detection_CVPR_2023_paper.html</x:v>
      </x:c>
      <x:c r="P21" s="18" t="str">
        <x:v>Tan, C., et al. (2023). Learning on gradients: Generalized artifacts representation for GAN-generated images detection. In CVPR.</x:v>
      </x:c>
      <x:c r="Q21" s="18" t="str">
        <x:v>Verify author list, pages, and DOI.</x:v>
      </x:c>
    </x:row>
    <x:row r="22" ht="60" customHeight="1">
      <x:c r="A22" s="21" t="n">
        <x:v>16</x:v>
      </x:c>
      <x:c r="B22" s="22" t="str">
        <x:v>Tan et al. (2024)</x:v>
      </x:c>
      <x:c r="C22" s="21" t="n">
        <x:v>2024</x:v>
      </x:c>
      <x:c r="D22" s="22" t="str">
        <x:v>Rethinking the Up-Sampling Operations in CNN-Based Generative Network for Generalizable Deepfake Detection</x:v>
      </x:c>
      <x:c r="E22" s="22" t="str">
        <x:v>Conference forensic method</x:v>
      </x:c>
      <x:c r="F22" s="22" t="str">
        <x:v>2.5 Visual Text-Region Features</x:v>
      </x:c>
      <x:c r="G22" s="22" t="str">
        <x:v>2.2; 2.7; 2.9</x:v>
      </x:c>
      <x:c r="H22" s="22" t="str">
        <x:v>Anchor</x:v>
      </x:c>
      <x:c r="I22" s="22" t="str">
        <x:v>NPR motivates neighboring-pixel relationships and upsampling artifacts as local cues.</x:v>
      </x:c>
      <x:c r="J22" s="22" t="str">
        <x:v>Not text-specific and may be sensitive to image degradation.</x:v>
      </x:c>
      <x:c r="K22" s="21" t="str">
        <x:v>High</x:v>
      </x:c>
      <x:c r="L22" s="21" t="str">
        <x:v>Published — CVPR 2024</x:v>
      </x:c>
      <x:c r="M22" s="21" t="str">
        <x:v>Official record verified; APA fields pending</x:v>
      </x:c>
      <x:c r="N22" s="21" t="str">
        <x:v>Full paper available</x:v>
      </x:c>
      <x:c r="O22" s="22" t="str">
        <x:v>https://openaccess.thecvf.com/content/CVPR2024/html/Tan_Rethinking_the_Up-Sampling_Operations_in_CNN-based_Generative_Network_for_Generalizable_CVPR_2024_paper.html</x:v>
      </x:c>
      <x:c r="P22" s="22" t="str">
        <x:v>Tan, C., et al. (2024). Rethinking the up-sampling operations in CNN-based generative network for generalizable deepfake detection. In CVPR.</x:v>
      </x:c>
      <x:c r="Q22" s="22" t="str">
        <x:v>Verify author list, pages, and DOI.</x:v>
      </x:c>
    </x:row>
    <x:row r="23" ht="60" customHeight="1">
      <x:c r="A23" s="20" t="n">
        <x:v>17</x:v>
      </x:c>
      <x:c r="B23" s="18" t="str">
        <x:v>Sinitsa and Fried (2024)</x:v>
      </x:c>
      <x:c r="C23" s="20" t="n">
        <x:v>2024</x:v>
      </x:c>
      <x:c r="D23" s="18" t="str">
        <x:v>Deep Image Fingerprint: Towards Low Budget Synthetic Image Detection and Model Lineage Analysis</x:v>
      </x:c>
      <x:c r="E23" s="18" t="str">
        <x:v>Conference forensic method</x:v>
      </x:c>
      <x:c r="F23" s="18" t="str">
        <x:v>2.2 AI-Generated Image Detection</x:v>
      </x:c>
      <x:c r="G23" s="18" t="str">
        <x:v>2.5; 2.7; 2.9</x:v>
      </x:c>
      <x:c r="H23" s="18" t="str">
        <x:v>Support</x:v>
      </x:c>
      <x:c r="I23" s="18" t="str">
        <x:v>Provides synthetic-image fingerprint and low-budget detector context.</x:v>
      </x:c>
      <x:c r="J23" s="18" t="str">
        <x:v>Uses deep learned representations rather than interpretable text-region features.</x:v>
      </x:c>
      <x:c r="K23" s="20" t="str">
        <x:v>Medium</x:v>
      </x:c>
      <x:c r="L23" s="20" t="str">
        <x:v>Published — WACV 2024</x:v>
      </x:c>
      <x:c r="M23" s="20" t="str">
        <x:v>Official record verified; APA fields pending</x:v>
      </x:c>
      <x:c r="N23" s="20" t="str">
        <x:v>Full paper available</x:v>
      </x:c>
      <x:c r="O23" s="18" t="str">
        <x:v>https://openaccess.thecvf.com/content/WACV2024/html/Sinitsa_Deep_Image_Fingerprint_Towards_Low_Budget_Synthetic_Image_Detection_and_WACV_2024_paper.html</x:v>
      </x:c>
      <x:c r="P23" s="18" t="str">
        <x:v>Sinitsa, S., &amp; Fried, O. (2024). Deep image fingerprint: Towards low budget synthetic image detection and model lineage analysis. In WACV.</x:v>
      </x:c>
      <x:c r="Q23" s="18" t="str">
        <x:v>Verify page range and DOI.</x:v>
      </x:c>
    </x:row>
    <x:row r="24" ht="60" customHeight="1">
      <x:c r="A24" s="21" t="n">
        <x:v>18</x:v>
      </x:c>
      <x:c r="B24" s="22" t="str">
        <x:v>Wang et al. (2023)</x:v>
      </x:c>
      <x:c r="C24" s="21" t="n">
        <x:v>2023</x:v>
      </x:c>
      <x:c r="D24" s="22" t="str">
        <x:v>DIRE for Diffusion-Generated Image Detection</x:v>
      </x:c>
      <x:c r="E24" s="22" t="str">
        <x:v>Conference forensic method</x:v>
      </x:c>
      <x:c r="F24" s="22" t="str">
        <x:v>2.2 AI-Generated Image Detection</x:v>
      </x:c>
      <x:c r="G24" s="22" t="str">
        <x:v>2.5; 2.7; 2.9</x:v>
      </x:c>
      <x:c r="H24" s="22" t="str">
        <x:v>Comparison</x:v>
      </x:c>
      <x:c r="I24" s="22" t="str">
        <x:v>Uses diffusion reconstruction error as a detection signal.</x:v>
      </x:c>
      <x:c r="J24" s="22" t="str">
        <x:v>Requires a reconstruction model and differs from the proposed traditional feature pipeline.</x:v>
      </x:c>
      <x:c r="K24" s="21" t="str">
        <x:v>Low</x:v>
      </x:c>
      <x:c r="L24" s="21" t="str">
        <x:v>Published — ICCV 2023</x:v>
      </x:c>
      <x:c r="M24" s="21" t="str">
        <x:v>Official record verified; APA fields pending</x:v>
      </x:c>
      <x:c r="N24" s="21" t="str">
        <x:v>Full paper available</x:v>
      </x:c>
      <x:c r="O24" s="22" t="str">
        <x:v>https://openaccess.thecvf.com/content/ICCV2023/html/Wang_DIRE_for_Diffusion-Generated_Image_Detection_ICCV_2023_paper.html</x:v>
      </x:c>
      <x:c r="P24" s="22" t="str">
        <x:v>Wang, Z., et al. (2023). DIRE for diffusion-generated image detection. In ICCV.</x:v>
      </x:c>
      <x:c r="Q24" s="22" t="str">
        <x:v>Verify author list, pages, and DOI.</x:v>
      </x:c>
    </x:row>
    <x:row r="25" ht="60" customHeight="1">
      <x:c r="A25" s="20" t="n">
        <x:v>19</x:v>
      </x:c>
      <x:c r="B25" s="18" t="str">
        <x:v>Ricker et al. (2024)</x:v>
      </x:c>
      <x:c r="C25" s="20" t="n">
        <x:v>2024</x:v>
      </x:c>
      <x:c r="D25" s="18" t="str">
        <x:v>AEROBLADE: Training-Free Detection of Latent Diffusion Images Using Autoencoder Reconstruction Error</x:v>
      </x:c>
      <x:c r="E25" s="18" t="str">
        <x:v>Conference forensic method</x:v>
      </x:c>
      <x:c r="F25" s="18" t="str">
        <x:v>2.2 AI-Generated Image Detection</x:v>
      </x:c>
      <x:c r="G25" s="18" t="str">
        <x:v>2.5; 2.7; 2.9</x:v>
      </x:c>
      <x:c r="H25" s="18" t="str">
        <x:v>Comparison</x:v>
      </x:c>
      <x:c r="I25" s="18" t="str">
        <x:v>Provides training-free latent-diffusion detection context.</x:v>
      </x:c>
      <x:c r="J25" s="18" t="str">
        <x:v>Depends on a latent-diffusion autoencoder and is not a direct method precedent.</x:v>
      </x:c>
      <x:c r="K25" s="20" t="str">
        <x:v>Low</x:v>
      </x:c>
      <x:c r="L25" s="20" t="str">
        <x:v>Published — CVPR 2024</x:v>
      </x:c>
      <x:c r="M25" s="20" t="str">
        <x:v>Official record verified; APA fields pending</x:v>
      </x:c>
      <x:c r="N25" s="20" t="str">
        <x:v>Full paper available</x:v>
      </x:c>
      <x:c r="O25" s="18" t="str">
        <x:v>https://openaccess.thecvf.com/content/CVPR2024/html/Ricker_AEROBLADE_Training-Free_Detection_of_Latent_Diffusion_Images_Using_Autoencoder_Reconstruction_CVPR_2024_paper.html</x:v>
      </x:c>
      <x:c r="P25" s="18" t="str">
        <x:v>Ricker, J., et al. (2024). AEROBLADE: Training-free detection of latent diffusion images using autoencoder reconstruction error. In CVPR.</x:v>
      </x:c>
      <x:c r="Q25" s="18" t="str">
        <x:v>Verify author list, pages, and DOI.</x:v>
      </x:c>
    </x:row>
    <x:row r="26" ht="60" customHeight="1">
      <x:c r="A26" s="21" t="n">
        <x:v>20</x:v>
      </x:c>
      <x:c r="B26" s="22" t="str">
        <x:v>Zhong et al. (2023/2024)</x:v>
      </x:c>
      <x:c r="C26" s="21" t="n">
        <x:v>2023</x:v>
      </x:c>
      <x:c r="D26" s="22" t="str">
        <x:v>PatchCraft: Exploring Texture Patch for Efficient AI-Generated Image Detection</x:v>
      </x:c>
      <x:c r="E26" s="22" t="str">
        <x:v>Preprint forensic method</x:v>
      </x:c>
      <x:c r="F26" s="22" t="str">
        <x:v>2.5 Visual Text-Region Features</x:v>
      </x:c>
      <x:c r="G26" s="22" t="str">
        <x:v>2.2; 2.7; 2.9; 2.10</x:v>
      </x:c>
      <x:c r="H26" s="22" t="str">
        <x:v>Anchor</x:v>
      </x:c>
      <x:c r="I26" s="22" t="str">
        <x:v>Texture-rich versus texture-poor patches and inter-pixel correlation support local texture analysis.</x:v>
      </x:c>
      <x:c r="J26" s="22" t="str">
        <x:v>arXiv preprint; do not imply peer review without a verified venue version.</x:v>
      </x:c>
      <x:c r="K26" s="21" t="str">
        <x:v>High</x:v>
      </x:c>
      <x:c r="L26" s="21" t="str">
        <x:v>Preprint — arXiv</x:v>
      </x:c>
      <x:c r="M26" s="21" t="str">
        <x:v>Preprint metadata verified</x:v>
      </x:c>
      <x:c r="N26" s="21" t="str">
        <x:v>Full preprint available</x:v>
      </x:c>
      <x:c r="O26" s="22" t="str">
        <x:v>https://arxiv.org/abs/2311.12397v3</x:v>
      </x:c>
      <x:c r="P26" s="22" t="str">
        <x:v>Zhong, N., Xu, Y., Li, S., Qian, Z., &amp; Zhang, X. (2024). PatchCraft: Exploring texture patch for efficient AI-generated image detection [Preprint]. arXiv:2311.12397.</x:v>
      </x:c>
      <x:c r="Q26" s="22" t="str">
        <x:v>Search for a peer-reviewed version; retain preprint label until verified.</x:v>
      </x:c>
    </x:row>
    <x:row r="27" ht="60" customHeight="1">
      <x:c r="A27" s="20" t="n">
        <x:v>21</x:v>
      </x:c>
      <x:c r="B27" s="18" t="str">
        <x:v>Fu et al. (2022)</x:v>
      </x:c>
      <x:c r="C27" s="20" t="n">
        <x:v>2022</x:v>
      </x:c>
      <x:c r="D27" s="18" t="str">
        <x:v>Detecting GAN-Generated Face Images via Hybrid Texture and Sensor Noise Based Features</x:v>
      </x:c>
      <x:c r="E27" s="18" t="str">
        <x:v>Journal forensic method</x:v>
      </x:c>
      <x:c r="F27" s="18" t="str">
        <x:v>2.5 Visual Text-Region Features</x:v>
      </x:c>
      <x:c r="G27" s="18" t="str">
        <x:v>2.6; 2.9</x:v>
      </x:c>
      <x:c r="H27" s="18" t="str">
        <x:v>Support</x:v>
      </x:c>
      <x:c r="I27" s="18" t="str">
        <x:v>Shows engineered texture and sensor-noise features can classify GAN-generated images.</x:v>
      </x:c>
      <x:c r="J27" s="18" t="str">
        <x:v>Face and GAN-specific evidence; not text-rich diffusion imagery.</x:v>
      </x:c>
      <x:c r="K27" s="20" t="str">
        <x:v>Medium</x:v>
      </x:c>
      <x:c r="L27" s="20" t="str">
        <x:v>Published — Multimedia Tools and Applications</x:v>
      </x:c>
      <x:c r="M27" s="20" t="str">
        <x:v>DOI and journal verified</x:v>
      </x:c>
      <x:c r="N27" s="20" t="str">
        <x:v>Full paper available</x:v>
      </x:c>
      <x:c r="O27" s="18" t="str">
        <x:v>https://link.springer.com/article/10.1007/s11042-022-12661-1</x:v>
      </x:c>
      <x:c r="P27" s="18" t="str">
        <x:v>Fu, Y., Xia, X., &amp; Yang, Y. (2022). Detecting GAN-generated face images via hybrid texture and sensor noise based features. Multimedia Tools and Applications, 81, 26345–26359. https://doi.org/10.1007/s11042-022-12661-1</x:v>
      </x:c>
      <x:c r="Q27" s="18" t="str">
        <x:v>Confirm issue number if required by institutional APA rules.</x:v>
      </x:c>
    </x:row>
    <x:row r="28" ht="60" customHeight="1">
      <x:c r="A28" s="21" t="n">
        <x:v>22</x:v>
      </x:c>
      <x:c r="B28" s="22" t="str">
        <x:v>Greiner and Tuba (2023)</x:v>
      </x:c>
      <x:c r="C28" s="21" t="n">
        <x:v>2023</x:v>
      </x:c>
      <x:c r="D28" s="22" t="str">
        <x:v>Detecting Image Forgery Using Support Vector Machine and Texture Features</x:v>
      </x:c>
      <x:c r="E28" s="22" t="str">
        <x:v>Conference traditional ML method</x:v>
      </x:c>
      <x:c r="F28" s="22" t="str">
        <x:v>2.6 Traditional ML Classifiers</x:v>
      </x:c>
      <x:c r="G28" s="22" t="str">
        <x:v>2.5; 2.9</x:v>
      </x:c>
      <x:c r="H28" s="22" t="str">
        <x:v>Anchor</x:v>
      </x:c>
      <x:c r="I28" s="22" t="str">
        <x:v>Supports the use of SVM with engineered texture features in image forensics.</x:v>
      </x:c>
      <x:c r="J28" s="22" t="str">
        <x:v>Forgery setting differs from generator-origin classification.</x:v>
      </x:c>
      <x:c r="K28" s="21" t="str">
        <x:v>High</x:v>
      </x:c>
      <x:c r="L28" s="21" t="str">
        <x:v>Published — IDEAL 2023</x:v>
      </x:c>
      <x:c r="M28" s="21" t="str">
        <x:v>DOI and proceedings verified</x:v>
      </x:c>
      <x:c r="N28" s="21" t="str">
        <x:v>Full paper available</x:v>
      </x:c>
      <x:c r="O28" s="22" t="str">
        <x:v>https://link.springer.com/chapter/10.1007/978-3-031-48232-8_48</x:v>
      </x:c>
      <x:c r="P28" s="22" t="str">
        <x:v>Greiner, A., &amp; Tuba, E. (2023). Detecting image forgery using support vector machine and texture features. In IDEAL 2023 (pp. 529–537). https://doi.org/10.1007/978-3-031-48232-8_48</x:v>
      </x:c>
      <x:c r="Q28" s="22" t="str">
        <x:v>Verify editors and LNCS volume for the final reference.</x:v>
      </x:c>
    </x:row>
    <x:row r="29" ht="60" customHeight="1">
      <x:c r="A29" s="20" t="n">
        <x:v>23</x:v>
      </x:c>
      <x:c r="B29" s="18" t="str">
        <x:v>Asghar et al. (2019)</x:v>
      </x:c>
      <x:c r="C29" s="20" t="n">
        <x:v>2019</x:v>
      </x:c>
      <x:c r="D29" s="18" t="str">
        <x:v>Edge–Texture Feature-Based Image Forgery Detection With Cross-Dataset Evaluation</x:v>
      </x:c>
      <x:c r="E29" s="18" t="str">
        <x:v>Journal forensic method</x:v>
      </x:c>
      <x:c r="F29" s="18" t="str">
        <x:v>2.5 Visual Text-Region Features</x:v>
      </x:c>
      <x:c r="G29" s="18" t="str">
        <x:v>2.6; 2.7; 2.9</x:v>
      </x:c>
      <x:c r="H29" s="18" t="str">
        <x:v>Support</x:v>
      </x:c>
      <x:c r="I29" s="18" t="str">
        <x:v>Supports combined edge and texture features and cross-dataset testing.</x:v>
      </x:c>
      <x:c r="J29" s="18" t="str">
        <x:v>Manipulation-forgery setting differs from AI-generator classification.</x:v>
      </x:c>
      <x:c r="K29" s="20" t="str">
        <x:v>Medium</x:v>
      </x:c>
      <x:c r="L29" s="20" t="str">
        <x:v>Published — Machine Vision and Applications</x:v>
      </x:c>
      <x:c r="M29" s="20" t="str">
        <x:v>DOI and journal verified</x:v>
      </x:c>
      <x:c r="N29" s="20" t="str">
        <x:v>Full paper available</x:v>
      </x:c>
      <x:c r="O29" s="18" t="str">
        <x:v>https://link.springer.com/article/10.1007/s00138-019-01048-2</x:v>
      </x:c>
      <x:c r="P29" s="18" t="str">
        <x:v>Asghar, K., et al. (2019). Edge–texture feature-based image forgery detection with cross-dataset evaluation. Machine Vision and Applications, 30, 1243–1262. https://doi.org/10.1007/s00138-019-01048-2</x:v>
      </x:c>
      <x:c r="Q29" s="18" t="str">
        <x:v>Verify complete author list and issue number.</x:v>
      </x:c>
    </x:row>
    <x:row r="30" ht="60" customHeight="1">
      <x:c r="A30" s="21" t="n">
        <x:v>24</x:v>
      </x:c>
      <x:c r="B30" s="22" t="str">
        <x:v>Cox (1958)</x:v>
      </x:c>
      <x:c r="C30" s="21" t="n">
        <x:v>1958</x:v>
      </x:c>
      <x:c r="D30" s="22" t="str">
        <x:v>The Regression Analysis of Binary Sequences</x:v>
      </x:c>
      <x:c r="E30" s="22" t="str">
        <x:v>Journal foundational classifier</x:v>
      </x:c>
      <x:c r="F30" s="22" t="str">
        <x:v>2.6 Traditional ML Classifiers</x:v>
      </x:c>
      <x:c r="G30" s="22" t="str">
        <x:v>2.9</x:v>
      </x:c>
      <x:c r="H30" s="22" t="str">
        <x:v>Foundation</x:v>
      </x:c>
      <x:c r="I30" s="22" t="str">
        <x:v>Foundational source for binary logistic regression.</x:v>
      </x:c>
      <x:c r="J30" s="22" t="str">
        <x:v>Older algorithm foundation; not recent domain evidence.</x:v>
      </x:c>
      <x:c r="K30" s="21" t="str">
        <x:v>Medium</x:v>
      </x:c>
      <x:c r="L30" s="21" t="str">
        <x:v>Published — JRSS Series B</x:v>
      </x:c>
      <x:c r="M30" s="21" t="str">
        <x:v>DOI and bibliographic details verified</x:v>
      </x:c>
      <x:c r="N30" s="21" t="str">
        <x:v>Full paper record available</x:v>
      </x:c>
      <x:c r="O30" s="22" t="str">
        <x:v>https://academic.oup.com/jrsssb/article/20/2/215/7027376</x:v>
      </x:c>
      <x:c r="P30" s="22" t="str">
        <x:v>Cox, D. R. (1958). The regression analysis of binary sequences. Journal of the Royal Statistical Society: Series B, 20(2), 215–232. https://doi.org/10.1111/j.2517-6161.1958.tb00292.x</x:v>
      </x:c>
      <x:c r="Q30" s="22" t="str">
        <x:v>Ready for final formatting check.</x:v>
      </x:c>
    </x:row>
    <x:row r="31" ht="60" customHeight="1">
      <x:c r="A31" s="20" t="n">
        <x:v>25</x:v>
      </x:c>
      <x:c r="B31" s="18" t="str">
        <x:v>Cortes and Vapnik (1995)</x:v>
      </x:c>
      <x:c r="C31" s="20" t="n">
        <x:v>1995</x:v>
      </x:c>
      <x:c r="D31" s="18" t="str">
        <x:v>Support-Vector Networks</x:v>
      </x:c>
      <x:c r="E31" s="18" t="str">
        <x:v>Journal foundational classifier</x:v>
      </x:c>
      <x:c r="F31" s="18" t="str">
        <x:v>2.6 Traditional ML Classifiers</x:v>
      </x:c>
      <x:c r="G31" s="18" t="str">
        <x:v>2.9</x:v>
      </x:c>
      <x:c r="H31" s="18" t="str">
        <x:v>Foundation</x:v>
      </x:c>
      <x:c r="I31" s="18" t="str">
        <x:v>Foundational source for maximum-margin classification.</x:v>
      </x:c>
      <x:c r="J31" s="18" t="str">
        <x:v>Older algorithm foundation; not domain novelty evidence.</x:v>
      </x:c>
      <x:c r="K31" s="20" t="str">
        <x:v>Medium</x:v>
      </x:c>
      <x:c r="L31" s="20" t="str">
        <x:v>Published — Machine Learning</x:v>
      </x:c>
      <x:c r="M31" s="20" t="str">
        <x:v>DOI and bibliographic details verified</x:v>
      </x:c>
      <x:c r="N31" s="20" t="str">
        <x:v>Full paper available</x:v>
      </x:c>
      <x:c r="O31" s="18" t="str">
        <x:v>https://link.springer.com/article/10.1007/BF00994018</x:v>
      </x:c>
      <x:c r="P31" s="18" t="str">
        <x:v>Cortes, C., &amp; Vapnik, V. (1995). Support-vector networks. Machine Learning, 20, 273–297. https://doi.org/10.1007/BF00994018</x:v>
      </x:c>
      <x:c r="Q31" s="18" t="str">
        <x:v>Ready for final formatting check.</x:v>
      </x:c>
    </x:row>
    <x:row r="32" ht="60" customHeight="1">
      <x:c r="A32" s="21" t="n">
        <x:v>26</x:v>
      </x:c>
      <x:c r="B32" s="22" t="str">
        <x:v>Breiman (2001)</x:v>
      </x:c>
      <x:c r="C32" s="21" t="n">
        <x:v>2001</x:v>
      </x:c>
      <x:c r="D32" s="22" t="str">
        <x:v>Random Forests</x:v>
      </x:c>
      <x:c r="E32" s="22" t="str">
        <x:v>Journal foundational classifier</x:v>
      </x:c>
      <x:c r="F32" s="22" t="str">
        <x:v>2.6 Traditional ML Classifiers</x:v>
      </x:c>
      <x:c r="G32" s="22" t="str">
        <x:v>2.9</x:v>
      </x:c>
      <x:c r="H32" s="22" t="str">
        <x:v>Foundation</x:v>
      </x:c>
      <x:c r="I32" s="22" t="str">
        <x:v>Foundational source for ensemble tree classification and feature importance.</x:v>
      </x:c>
      <x:c r="J32" s="22" t="str">
        <x:v>Feature-importance measures must not be interpreted as causal evidence.</x:v>
      </x:c>
      <x:c r="K32" s="21" t="str">
        <x:v>Medium</x:v>
      </x:c>
      <x:c r="L32" s="21" t="str">
        <x:v>Published — Machine Learning</x:v>
      </x:c>
      <x:c r="M32" s="21" t="str">
        <x:v>DOI and bibliographic details verified</x:v>
      </x:c>
      <x:c r="N32" s="21" t="str">
        <x:v>Full paper available</x:v>
      </x:c>
      <x:c r="O32" s="22" t="str">
        <x:v>https://link.springer.com/article/10.1023/A%3A1010933404324</x:v>
      </x:c>
      <x:c r="P32" s="22" t="str">
        <x:v>Breiman, L. (2001). Random forests. Machine Learning, 45, 5–32. https://doi.org/10.1023/A:1010933404324</x:v>
      </x:c>
      <x:c r="Q32" s="22" t="str">
        <x:v>Ready for final formatting check.</x:v>
      </x:c>
    </x:row>
    <x:row r="33" ht="60" customHeight="1">
      <x:c r="A33" s="20" t="n">
        <x:v>27</x:v>
      </x:c>
      <x:c r="B33" s="18" t="str">
        <x:v>Kapoor and Narayanan (2023)</x:v>
      </x:c>
      <x:c r="C33" s="20" t="n">
        <x:v>2023</x:v>
      </x:c>
      <x:c r="D33" s="18" t="str">
        <x:v>Leakage and the Reproducibility Crisis in Machine-Learning-Based Science</x:v>
      </x:c>
      <x:c r="E33" s="18" t="str">
        <x:v>Journal methodology</x:v>
      </x:c>
      <x:c r="F33" s="18" t="str">
        <x:v>2.7 Evaluation and Reliability</x:v>
      </x:c>
      <x:c r="G33" s="18" t="str">
        <x:v>2.9; 2.10</x:v>
      </x:c>
      <x:c r="H33" s="18" t="str">
        <x:v>Anchor</x:v>
      </x:c>
      <x:c r="I33" s="18" t="str">
        <x:v>Provides a general framework for detecting leakage and reproducibility failures in ML research.</x:v>
      </x:c>
      <x:c r="J33" s="18" t="str">
        <x:v>Methodological source, not image-forensics evidence.</x:v>
      </x:c>
      <x:c r="K33" s="20" t="str">
        <x:v>High</x:v>
      </x:c>
      <x:c r="L33" s="20" t="str">
        <x:v>Published — Patterns</x:v>
      </x:c>
      <x:c r="M33" s="20" t="str">
        <x:v>Journal record verified; APA fields pending</x:v>
      </x:c>
      <x:c r="N33" s="20" t="str">
        <x:v>Full paper available</x:v>
      </x:c>
      <x:c r="O33" s="18" t="str">
        <x:v>https://pubmed.ncbi.nlm.nih.gov/37720327/</x:v>
      </x:c>
      <x:c r="P33" s="18" t="str">
        <x:v>Kapoor, S., &amp; Narayanan, A. (2023). Leakage and the reproducibility crisis in machine-learning-based science. Patterns.</x:v>
      </x:c>
      <x:c r="Q33" s="18" t="str">
        <x:v>Verify volume, issue, article number, and DOI.</x:v>
      </x:c>
    </x:row>
    <x:row r="34" ht="60" customHeight="1">
      <x:c r="A34" s="21" t="n">
        <x:v>28</x:v>
      </x:c>
      <x:c r="B34" s="22" t="str">
        <x:v>Tampu et al. (2022)</x:v>
      </x:c>
      <x:c r="C34" s="21" t="n">
        <x:v>2022</x:v>
      </x:c>
      <x:c r="D34" s="22" t="str">
        <x:v>Inflation of Test Accuracy Due to Data Leakage in Deep Learning-Based Classification of OCT Images</x:v>
      </x:c>
      <x:c r="E34" s="22" t="str">
        <x:v>Journal methodology</x:v>
      </x:c>
      <x:c r="F34" s="22" t="str">
        <x:v>2.7 Evaluation and Reliability</x:v>
      </x:c>
      <x:c r="G34" s="22" t="str">
        <x:v>2.9</x:v>
      </x:c>
      <x:c r="H34" s="22" t="str">
        <x:v>Support</x:v>
      </x:c>
      <x:c r="I34" s="22" t="str">
        <x:v>Empirically shows that leakage can inflate reported test accuracy.</x:v>
      </x:c>
      <x:c r="J34" s="22" t="str">
        <x:v>Medical imaging domain; only the leakage principle transfers.</x:v>
      </x:c>
      <x:c r="K34" s="21" t="str">
        <x:v>Medium</x:v>
      </x:c>
      <x:c r="L34" s="21" t="str">
        <x:v>Published — Scientific Data</x:v>
      </x:c>
      <x:c r="M34" s="21" t="str">
        <x:v>DOI and journal verified</x:v>
      </x:c>
      <x:c r="N34" s="21" t="str">
        <x:v>Full paper available</x:v>
      </x:c>
      <x:c r="O34" s="22" t="str">
        <x:v>https://www.nature.com/articles/s41597-022-01618-6</x:v>
      </x:c>
      <x:c r="P34" s="22" t="str">
        <x:v>Tampu, I. E., Eklund, A., &amp; Haj-Hosseini, N. (2022). Inflation of test accuracy due to data leakage in deep learning-based classification of OCT images. Scientific Data, 9, 580. https://doi.org/10.1038/s41597-022-01618-6</x:v>
      </x:c>
      <x:c r="Q34" s="22" t="str">
        <x:v>Ready for final formatting check.</x:v>
      </x:c>
    </x:row>
    <x:row r="35" ht="60" customHeight="1">
      <x:c r="A35" s="20" t="n">
        <x:v>29</x:v>
      </x:c>
      <x:c r="B35" s="18" t="str">
        <x:v>Varma and Simon (2006)</x:v>
      </x:c>
      <x:c r="C35" s="20" t="n">
        <x:v>2006</x:v>
      </x:c>
      <x:c r="D35" s="18" t="str">
        <x:v>Bias in Error Estimation When Using Cross-Validation for Model Selection</x:v>
      </x:c>
      <x:c r="E35" s="18" t="str">
        <x:v>Journal methodology</x:v>
      </x:c>
      <x:c r="F35" s="18" t="str">
        <x:v>2.7 Evaluation and Reliability</x:v>
      </x:c>
      <x:c r="G35" s="18" t="str">
        <x:v>2.9</x:v>
      </x:c>
      <x:c r="H35" s="18" t="str">
        <x:v>Anchor</x:v>
      </x:c>
      <x:c r="I35" s="18" t="str">
        <x:v>Supports nested or properly separated model selection and error estimation.</x:v>
      </x:c>
      <x:c r="J35" s="18" t="str">
        <x:v>Older but methodologically foundational.</x:v>
      </x:c>
      <x:c r="K35" s="20" t="str">
        <x:v>High</x:v>
      </x:c>
      <x:c r="L35" s="20" t="str">
        <x:v>Published — BMC Bioinformatics</x:v>
      </x:c>
      <x:c r="M35" s="20" t="str">
        <x:v>DOI and bibliographic details verified</x:v>
      </x:c>
      <x:c r="N35" s="20" t="str">
        <x:v>Full paper available</x:v>
      </x:c>
      <x:c r="O35" s="18" t="str">
        <x:v>https://link.springer.com/article/10.1186/1471-2105-7-91</x:v>
      </x:c>
      <x:c r="P35" s="18" t="str">
        <x:v>Varma, S., &amp; Simon, R. (2006). Bias in error estimation when using cross-validation for model selection. BMC Bioinformatics, 7, 91. https://doi.org/10.1186/1471-2105-7-91</x:v>
      </x:c>
      <x:c r="Q35" s="18" t="str">
        <x:v>Ready for final formatting check.</x:v>
      </x:c>
    </x:row>
    <x:row r="36" ht="60" customHeight="1">
      <x:c r="A36" s="21" t="n">
        <x:v>30</x:v>
      </x:c>
      <x:c r="B36" s="22" t="str">
        <x:v>Gösgens et al. (2021)</x:v>
      </x:c>
      <x:c r="C36" s="21" t="n">
        <x:v>2021</x:v>
      </x:c>
      <x:c r="D36" s="22" t="str">
        <x:v>Good Classification Measures and How to Find Them</x:v>
      </x:c>
      <x:c r="E36" s="22" t="str">
        <x:v>Conference methodology</x:v>
      </x:c>
      <x:c r="F36" s="22" t="str">
        <x:v>2.7 Evaluation and Reliability</x:v>
      </x:c>
      <x:c r="G36" s="22" t="str">
        <x:v>2.9</x:v>
      </x:c>
      <x:c r="H36" s="22" t="str">
        <x:v>Support</x:v>
      </x:c>
      <x:c r="I36" s="22" t="str">
        <x:v>Provides criteria for assessing the suitability of classification measures.</x:v>
      </x:c>
      <x:c r="J36" s="22" t="str">
        <x:v>General evaluation theory, not domain-specific evidence.</x:v>
      </x:c>
      <x:c r="K36" s="21" t="str">
        <x:v>Medium</x:v>
      </x:c>
      <x:c r="L36" s="21" t="str">
        <x:v>Published — NeurIPS 2021</x:v>
      </x:c>
      <x:c r="M36" s="21" t="str">
        <x:v>Official paper verified; APA fields pending</x:v>
      </x:c>
      <x:c r="N36" s="21" t="str">
        <x:v>Full paper available</x:v>
      </x:c>
      <x:c r="O36" s="22" t="str">
        <x:v>https://proceedings.neurips.cc/paper/2021/file/8e489b4966fe8f703b5be647f1cbae63-Paper.pdf</x:v>
      </x:c>
      <x:c r="P36" s="22" t="str">
        <x:v>Gösgens, M., et al. (2021). Good classification measures and how to find them. In NeurIPS.</x:v>
      </x:c>
      <x:c r="Q36" s="22" t="str">
        <x:v>Verify complete authors and official proceedings details.</x:v>
      </x:c>
    </x:row>
    <x:row r="37" ht="60" customHeight="1">
      <x:c r="A37" s="20" t="n">
        <x:v>31</x:v>
      </x:c>
      <x:c r="B37" s="18" t="str">
        <x:v>Saito and Rehmsmeier (2015)</x:v>
      </x:c>
      <x:c r="C37" s="20" t="n">
        <x:v>2015</x:v>
      </x:c>
      <x:c r="D37" s="18" t="str">
        <x:v>The Precision–Recall Plot Is More Informative Than the ROC Plot When Evaluating Binary Classifiers on Imbalanced Datasets</x:v>
      </x:c>
      <x:c r="E37" s="18" t="str">
        <x:v>Journal methodology</x:v>
      </x:c>
      <x:c r="F37" s="18" t="str">
        <x:v>2.7 Evaluation and Reliability</x:v>
      </x:c>
      <x:c r="G37" s="18" t="str">
        <x:v>2.9</x:v>
      </x:c>
      <x:c r="H37" s="18" t="str">
        <x:v>Anchor</x:v>
      </x:c>
      <x:c r="I37" s="18" t="str">
        <x:v>Supports precision–recall evaluation under class imbalance.</x:v>
      </x:c>
      <x:c r="J37" s="18" t="str">
        <x:v>Older but remains a standard methodological reference.</x:v>
      </x:c>
      <x:c r="K37" s="20" t="str">
        <x:v>High</x:v>
      </x:c>
      <x:c r="L37" s="20" t="str">
        <x:v>Published — PLOS ONE</x:v>
      </x:c>
      <x:c r="M37" s="20" t="str">
        <x:v>DOI and journal verified</x:v>
      </x:c>
      <x:c r="N37" s="20" t="str">
        <x:v>Full paper available</x:v>
      </x:c>
      <x:c r="O37" s="18" t="str">
        <x:v>https://journals.plos.org/plosone/article?id=10.1371/journal.pone.0118432</x:v>
      </x:c>
      <x:c r="P37" s="18" t="str">
        <x:v>Saito, T., &amp; Rehmsmeier, M. (2015). The precision–recall plot is more informative than the ROC plot when evaluating binary classifiers on imbalanced datasets. PLOS ONE, 10(3), e0118432. https://doi.org/10.1371/journal.pone.0118432</x:v>
      </x:c>
      <x:c r="Q37" s="18" t="str">
        <x:v>Ready for final formatting check.</x:v>
      </x:c>
    </x:row>
    <x:row r="38" ht="60" customHeight="1">
      <x:c r="A38" s="21" t="n">
        <x:v>32</x:v>
      </x:c>
      <x:c r="B38" s="22" t="str">
        <x:v>Chen et al. (2024)</x:v>
      </x:c>
      <x:c r="C38" s="21" t="n">
        <x:v>2024</x:v>
      </x:c>
      <x:c r="D38" s="22" t="str">
        <x:v>A Survey on Imbalanced Learning: Latest Research, Applications and Future Directions</x:v>
      </x:c>
      <x:c r="E38" s="22" t="str">
        <x:v>Journal survey</x:v>
      </x:c>
      <x:c r="F38" s="22" t="str">
        <x:v>2.7 Evaluation and Reliability</x:v>
      </x:c>
      <x:c r="G38" s="22" t="str">
        <x:v>2.9</x:v>
      </x:c>
      <x:c r="H38" s="22" t="str">
        <x:v>Support</x:v>
      </x:c>
      <x:c r="I38" s="22" t="str">
        <x:v>Provides recent context for imbalanced-learning methods and metric selection.</x:v>
      </x:c>
      <x:c r="J38" s="22" t="str">
        <x:v>Broad survey; cite only claims directly relevant to imbalance and evaluation.</x:v>
      </x:c>
      <x:c r="K38" s="21" t="str">
        <x:v>Medium</x:v>
      </x:c>
      <x:c r="L38" s="21" t="str">
        <x:v>Published — Artificial Intelligence Review</x:v>
      </x:c>
      <x:c r="M38" s="21" t="str">
        <x:v>DOI and journal verified</x:v>
      </x:c>
      <x:c r="N38" s="21" t="str">
        <x:v>Full paper available</x:v>
      </x:c>
      <x:c r="O38" s="22" t="str">
        <x:v>https://link.springer.com/article/10.1007/s10462-024-10759-6</x:v>
      </x:c>
      <x:c r="P38" s="22" t="str">
        <x:v>Chen, et al. (2024). A survey on imbalanced learning: Latest research, applications and future directions. Artificial Intelligence Review, 57, 137. https://doi.org/10.1007/s10462-024-10759-6</x:v>
      </x:c>
      <x:c r="Q38" s="22" t="str">
        <x:v>Verify complete author list.</x:v>
      </x:c>
    </x:row>
    <x:row r="39" ht="60" customHeight="1">
      <x:c r="A39" s="45" t="n">
        <x:v>33</x:v>
      </x:c>
      <x:c r="B39" s="46" t="str">
        <x:v>Kreuzberger et al. (2023)</x:v>
      </x:c>
      <x:c r="C39" s="45" t="n">
        <x:v>2023</x:v>
      </x:c>
      <x:c r="D39" s="46" t="str">
        <x:v>Machine Learning Operations (MLOps): Overview, Definition, and Architecture</x:v>
      </x:c>
      <x:c r="E39" s="46" t="str">
        <x:v>Journal MLOps architecture</x:v>
      </x:c>
      <x:c r="F39" s="46" t="str">
        <x:v>2.8 Systems and Prototype Context</x:v>
      </x:c>
      <x:c r="G39" s="46" t="str">
        <x:v>2.7; 2.9; 2.11</x:v>
      </x:c>
      <x:c r="H39" s="46" t="str">
        <x:v>Anchor</x:v>
      </x:c>
      <x:c r="I39" s="46" t="str">
        <x:v>Defines MLOps principles, components, roles, architecture, workflow orchestration, reproducibility, versioning, and model serving; supports separating the research pipeline from its delivery interface.</x:v>
      </x:c>
      <x:c r="J39" s="46" t="str">
        <x:v>Describes production-oriented MLOps. Use it to justify a modular prototype architecture, not to claim that the thesis implements a complete production MLOps platform.</x:v>
      </x:c>
      <x:c r="K39" s="45" t="str">
        <x:v>High</x:v>
      </x:c>
      <x:c r="L39" s="45" t="str">
        <x:v>Published — IEEE Access</x:v>
      </x:c>
      <x:c r="M39" s="45" t="str">
        <x:v>Core metadata, pages, and DOI verified</x:v>
      </x:c>
      <x:c r="N39" s="45" t="str">
        <x:v>Full paper available</x:v>
      </x:c>
      <x:c r="O39" s="46" t="str">
        <x:v>https://ieeexplore.ieee.org/document/10081336</x:v>
      </x:c>
      <x:c r="P39" s="46" t="str">
        <x:v>Kreuzberger, D., Kühl, N., &amp; Hirschl, S. (2023). Machine learning operations (MLOps): Overview, definition, and architecture. IEEE Access, 11, 31866–31879. https://doi.org/10.1109/ACCESS.2023.3262138</x:v>
      </x:c>
      <x:c r="Q39" s="46" t="str">
        <x:v>Ready for final APA formatting check.</x:v>
      </x:c>
    </x:row>
    <x:row r="40" ht="60" customHeight="1">
      <x:c r="A40" s="47" t="n">
        <x:v>34</x:v>
      </x:c>
      <x:c r="B40" s="48" t="str">
        <x:v>Ruf et al. (2021)</x:v>
      </x:c>
      <x:c r="C40" s="47" t="n">
        <x:v>2021</x:v>
      </x:c>
      <x:c r="D40" s="48" t="str">
        <x:v>Demystifying MLOps and Presenting a Recipe for the Selection of Open-Source Tools</x:v>
      </x:c>
      <x:c r="E40" s="48" t="str">
        <x:v>Journal MLOps workflow</x:v>
      </x:c>
      <x:c r="F40" s="48" t="str">
        <x:v>2.8 Systems and Prototype Context</x:v>
      </x:c>
      <x:c r="G40" s="48" t="str">
        <x:v>2.7; 2.9; 2.11</x:v>
      </x:c>
      <x:c r="H40" s="48" t="str">
        <x:v>Anchor</x:v>
      </x:c>
      <x:c r="I40" s="48" t="str">
        <x:v>Presents a structured ML lifecycle, tool-selection workflow, and data, model, and system quality concerns; includes an image-analysis use case.</x:v>
      </x:c>
      <x:c r="J40" s="48" t="str">
        <x:v>The paper surveys broader operational workflows and tools. Cite only the pipeline and quality principles relevant to a student research prototype.</x:v>
      </x:c>
      <x:c r="K40" s="47" t="str">
        <x:v>High</x:v>
      </x:c>
      <x:c r="L40" s="47" t="str">
        <x:v>Published — Applied Sciences</x:v>
      </x:c>
      <x:c r="M40" s="47" t="str">
        <x:v>Core metadata and DOI verified</x:v>
      </x:c>
      <x:c r="N40" s="47" t="str">
        <x:v>Full paper available</x:v>
      </x:c>
      <x:c r="O40" s="48" t="str">
        <x:v>https://www.mdpi.com/2076-3417/11/19/8861</x:v>
      </x:c>
      <x:c r="P40" s="48" t="str">
        <x:v>Ruf, P., Madan, M., Reich, C., &amp; Ould-Abdeslam, D. (2021). Demystifying MLOps and presenting a recipe for the selection of open-source tools. Applied Sciences, 11(19), 8861. https://doi.org/10.3390/app11198861</x:v>
      </x:c>
      <x:c r="Q40" s="48" t="str">
        <x:v>Ready for final APA formatting check.</x:v>
      </x:c>
    </x:row>
    <x:row r="41" ht="60" customHeight="1">
      <x:c r="A41" s="49" t="n">
        <x:v>35</x:v>
      </x:c>
      <x:c r="B41" s="50" t="str">
        <x:v>Pineau et al. (2021)</x:v>
      </x:c>
      <x:c r="C41" s="49" t="n">
        <x:v>2021</x:v>
      </x:c>
      <x:c r="D41" s="50" t="str">
        <x:v>Improving Reproducibility in Machine Learning Research (A Report from the NeurIPS 2019 Reproducibility Program)</x:v>
      </x:c>
      <x:c r="E41" s="50" t="str">
        <x:v>Journal reproducibility guidance</x:v>
      </x:c>
      <x:c r="F41" s="50" t="str">
        <x:v>2.8 Systems and Prototype Context</x:v>
      </x:c>
      <x:c r="G41" s="50" t="str">
        <x:v>2.7; 2.9; 2.11</x:v>
      </x:c>
      <x:c r="H41" s="50" t="str">
        <x:v>Support</x:v>
      </x:c>
      <x:c r="I41" s="50" t="str">
        <x:v>Supports transparent code, data, metrics, documentation, and robust experimental workflows for reproducible ML research.</x:v>
      </x:c>
      <x:c r="J41" s="50" t="str">
        <x:v>Addresses research reproducibility rather than interface design or production deployment; use it to justify traceable prototype inputs, configurations, and outputs.</x:v>
      </x:c>
      <x:c r="K41" s="49" t="str">
        <x:v>Medium</x:v>
      </x:c>
      <x:c r="L41" s="49" t="str">
        <x:v>Published — JMLR</x:v>
      </x:c>
      <x:c r="M41" s="49" t="str">
        <x:v>Authors, volume, issue, pages, and year verified</x:v>
      </x:c>
      <x:c r="N41" s="49" t="str">
        <x:v>Full paper available</x:v>
      </x:c>
      <x:c r="O41" s="50" t="str">
        <x:v>https://jmlr.org/papers/v22/20-303.html</x:v>
      </x:c>
      <x:c r="P41" s="50" t="str">
        <x:v>Pineau, J., Vincent-Lamarre, P., Sinha, K., Larivière, V., Beygelzimer, A., d'Alché-Buc, F., Fox, E., &amp; Larochelle, H. (2021). Improving reproducibility in machine learning research (A report from the NeurIPS 2019 reproducibility program). Journal of Machine Learning Research, 22(164), 1–20. https://jmlr.org/papers/v22/20-303.html</x:v>
      </x:c>
      <x:c r="Q41" s="50" t="str">
        <x:v>Ready for final APA formatting check.</x:v>
      </x:c>
    </x:row>
  </x:sheetData>
  <x:conditionalFormatting sqref="K7:K38">
    <x:cfRule type="containsText" dxfId="0" priority="1" operator="containsText" text="High"/>
  </x:conditionalFormatting>
  <x:conditionalFormatting sqref="L7:L38">
    <x:cfRule type="containsText" dxfId="1" priority="2" operator="containsText" text="Preprint"/>
  </x:conditionalFormatting>
  <x:conditionalFormatting sqref="M7:M38">
    <x:cfRule type="containsText" dxfId="2" priority="3" operator="containsText" text="pending"/>
  </x:conditionalFormatting>
  <x:conditionalFormatting sqref="K39:K41">
    <x:cfRule type="containsText" dxfId="5" priority="4" operator="containsText" text="High"/>
  </x:conditionalFormatting>
  <x:conditionalFormatting sqref="L39:L41">
    <x:cfRule type="containsText" dxfId="6" priority="5" operator="containsText" text="Preprint"/>
  </x:conditionalFormatting>
  <x:conditionalFormatting sqref="M39:M41">
    <x:cfRule type="containsText" dxfId="7" priority="6" operator="containsText" text="pending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48" hidden="0" customWidth="1"/>
    <x:col min="3" max="3" width="43" hidden="0" customWidth="1"/>
    <x:col min="4" max="4" width="36" hidden="0" customWidth="1"/>
    <x:col min="5" max="5" width="25" hidden="0" customWidth="1"/>
    <x:col min="6" max="6" width="15" hidden="0" customWidth="1"/>
    <x:col min="7" max="7" width="12" hidden="0" customWidth="1"/>
    <x:col min="8" max="8" width="40" hidden="0" customWidth="1"/>
  </x:cols>
  <x:sheetData>
    <x:row r="2">
      <x:c r="A2" s="2" t="str">
        <x:v>Chapter 2 Section Plan</x:v>
      </x:c>
      <x:c r="B2" s="1"/>
      <x:c r="C2" s="1"/>
      <x:c r="D2" s="1"/>
      <x:c r="E2" s="1"/>
      <x:c r="F2" s="1"/>
      <x:c r="G2" s="1"/>
      <x:c r="H2" s="1"/>
    </x:row>
    <x:row r="3">
      <x:c r="A3" s="3" t="str">
        <x:v>Use this sheet as the drafting order. Source counts are calculated from each source's primary assignment in the Source Matrix.</x:v>
      </x:c>
      <x:c r="B3" s="3"/>
      <x:c r="C3" s="3"/>
      <x:c r="D3" s="3"/>
      <x:c r="E3" s="3"/>
      <x:c r="F3" s="3"/>
      <x:c r="G3" s="3"/>
      <x:c r="H3" s="3"/>
    </x:row>
    <x:row r="5" ht="32" customHeight="1">
      <x:c r="A5" s="34" t="str">
        <x:v>Section</x:v>
      </x:c>
      <x:c r="B5" s="34" t="str">
        <x:v>Drafting focus</x:v>
      </x:c>
      <x:c r="C5" s="34" t="str">
        <x:v>Recommended anchor set</x:v>
      </x:c>
      <x:c r="D5" s="34" t="str">
        <x:v>Target coverage</x:v>
      </x:c>
      <x:c r="E5" s="34" t="str">
        <x:v>Readiness</x:v>
      </x:c>
      <x:c r="F5" s="34" t="str">
        <x:v>Primary-source count</x:v>
      </x:c>
      <x:c r="G5" s="34" t="str">
        <x:v>Draft order</x:v>
      </x:c>
      <x:c r="H5" s="34" t="str">
        <x:v>Immediate action</x:v>
      </x:c>
    </x:row>
    <x:row r="6" ht="70" customHeight="1">
      <x:c r="A6" s="35" t="str">
        <x:v>2.1 Introduction</x:v>
      </x:c>
      <x:c r="B6" s="36" t="str">
        <x:v>Scope and organization of the review; explain localization versus semantic OCR.</x:v>
      </x:c>
      <x:c r="C6" s="36" t="str">
        <x:v>Use the strongest sources from 2.2–2.7; no separate source quota.</x:v>
      </x:c>
      <x:c r="D6" s="36" t="str">
        <x:v>Synthesis only</x:v>
      </x:c>
      <x:c r="E6" s="36" t="str">
        <x:v>Ready</x:v>
      </x:c>
      <x:c r="F6" s="37" t="n">
        <x:f>COUNTIFS('Source Matrix'!$F$7:$F$41,"2.1 Introduction")</x:f>
        <x:v>0</x:v>
      </x:c>
      <x:c r="G6" s="37" t="n">
        <x:v>1</x:v>
      </x:c>
      <x:c r="H6" s="36" t="str">
        <x:v>Draft after final metadata verification.</x:v>
      </x:c>
    </x:row>
    <x:row r="7" ht="70" customHeight="1">
      <x:c r="A7" s="38" t="str">
        <x:v>2.2 AI-Generated Image Detection</x:v>
      </x:c>
      <x:c r="B7" s="39" t="str">
        <x:v>General detection, cross-generator transfer, content bias, unseen generators, and degradation.</x:v>
      </x:c>
      <x:c r="C7" s="39" t="str">
        <x:v>GenImage; Ojha et al.; AIDE; SFLD</x:v>
      </x:c>
      <x:c r="D7" s="39" t="str">
        <x:v>3–5 anchors plus comparison studies</x:v>
      </x:c>
      <x:c r="E7" s="39" t="str">
        <x:v>Ready</x:v>
      </x:c>
      <x:c r="F7" s="40" t="n">
        <x:f>COUNTIFS('Source Matrix'!$F$7:$F$41,"2.2 AI-Generated Image Detection")</x:f>
        <x:v>8</x:v>
      </x:c>
      <x:c r="G7" s="40" t="n">
        <x:v>2</x:v>
      </x:c>
      <x:c r="H7" s="39" t="str">
        <x:v>Draft after final metadata verification.</x:v>
      </x:c>
    </x:row>
    <x:row r="8" ht="70" customHeight="1">
      <x:c r="A8" s="35" t="str">
        <x:v>2.3 Text-Rich Images and Data</x:v>
      </x:c>
      <x:c r="B8" s="36" t="str">
        <x:v>Text-rich domain, datasets, provenance, distribution alignment, and preparation.</x:v>
      </x:c>
      <x:c r="C8" s="36" t="str">
        <x:v>TextFake; GenImage; CIFAKE; TwinSynths; RRDataset</x:v>
      </x:c>
      <x:c r="D8" s="36" t="str">
        <x:v>3–5 anchors</x:v>
      </x:c>
      <x:c r="E8" s="36" t="str">
        <x:v>Ready with preprint caution</x:v>
      </x:c>
      <x:c r="F8" s="37" t="n">
        <x:f>COUNTIFS('Source Matrix'!$F$7:$F$41,"2.3 Text-Rich Images and Data")</x:f>
        <x:v>2</x:v>
      </x:c>
      <x:c r="G8" s="37" t="n">
        <x:v>3</x:v>
      </x:c>
      <x:c r="H8" s="36" t="str">
        <x:v>Draft after final metadata verification.</x:v>
      </x:c>
    </x:row>
    <x:row r="9" ht="70" customHeight="1">
      <x:c r="A9" s="38" t="str">
        <x:v>2.4 Text-Region Detection</x:v>
      </x:c>
      <x:c r="B9" s="39" t="str">
        <x:v>Localization methods and why they are separate from authenticity classification.</x:v>
      </x:c>
      <x:c r="C9" s="39" t="str">
        <x:v>DBNet++; CRAFT; ABPN; Stroke Width Transform</x:v>
      </x:c>
      <x:c r="D9" s="39" t="str">
        <x:v>3–4 anchors</x:v>
      </x:c>
      <x:c r="E9" s="39" t="str">
        <x:v>Ready</x:v>
      </x:c>
      <x:c r="F9" s="40" t="n">
        <x:f>COUNTIFS('Source Matrix'!$F$7:$F$41,"2.4 Text-Region Detection")</x:f>
        <x:v>3</x:v>
      </x:c>
      <x:c r="G9" s="40" t="n">
        <x:v>4</x:v>
      </x:c>
      <x:c r="H9" s="39" t="str">
        <x:v>Draft after final metadata verification.</x:v>
      </x:c>
    </x:row>
    <x:row r="10" ht="70" customHeight="1">
      <x:c r="A10" s="35" t="str">
        <x:v>2.5 Visual Text-Region Features</x:v>
      </x:c>
      <x:c r="B10" s="36" t="str">
        <x:v>Stroke, shape, spacing, alignment, edge, gradient, texture, contrast, sharpness, and density.</x:v>
      </x:c>
      <x:c r="C10" s="36" t="str">
        <x:v>SWT; CG-DIQA; Chai et al.; LGrad; NPR; PatchCraft</x:v>
      </x:c>
      <x:c r="D10" s="36" t="str">
        <x:v>4–6 anchors plus supporting studies</x:v>
      </x:c>
      <x:c r="E10" s="36" t="str">
        <x:v>Ready; transfer boundaries required</x:v>
      </x:c>
      <x:c r="F10" s="37" t="n">
        <x:f>COUNTIFS('Source Matrix'!$F$7:$F$41,"2.5 Visual Text-Region Features")</x:f>
        <x:v>8</x:v>
      </x:c>
      <x:c r="G10" s="37" t="n">
        <x:v>5</x:v>
      </x:c>
      <x:c r="H10" s="36" t="str">
        <x:v>Draft after final metadata verification.</x:v>
      </x:c>
    </x:row>
    <x:row r="11" ht="70" customHeight="1">
      <x:c r="A11" s="38" t="str">
        <x:v>2.6 Traditional ML Classifiers</x:v>
      </x:c>
      <x:c r="B11" s="39" t="str">
        <x:v>Rationale for LR, SVM, and RF with a fixed-length feature vector.</x:v>
      </x:c>
      <x:c r="C11" s="39" t="str">
        <x:v>Cox; Cortes and Vapnik; Breiman; Greiner and Tuba</x:v>
      </x:c>
      <x:c r="D11" s="39" t="str">
        <x:v>3 foundations plus 1 applied study</x:v>
      </x:c>
      <x:c r="E11" s="39" t="str">
        <x:v>Ready</x:v>
      </x:c>
      <x:c r="F11" s="40" t="n">
        <x:f>COUNTIFS('Source Matrix'!$F$7:$F$41,"2.6 Traditional ML Classifiers")</x:f>
        <x:v>4</x:v>
      </x:c>
      <x:c r="G11" s="40" t="n">
        <x:v>6</x:v>
      </x:c>
      <x:c r="H11" s="39" t="str">
        <x:v>Draft after final metadata verification.</x:v>
      </x:c>
    </x:row>
    <x:row r="12" ht="70" customHeight="1">
      <x:c r="A12" s="35" t="str">
        <x:v>2.7 Evaluation and Reliability</x:v>
      </x:c>
      <x:c r="B12" s="36" t="str">
        <x:v>Leakage-safe splits, nested tuning, imbalance, metrics, cross-generator and degradation tests.</x:v>
      </x:c>
      <x:c r="C12" s="36" t="str">
        <x:v>Kapoor and Narayanan; Varma and Simon; Saito and Rehmsmeier; GenImage; RRDataset</x:v>
      </x:c>
      <x:c r="D12" s="36" t="str">
        <x:v>4–6 anchors</x:v>
      </x:c>
      <x:c r="E12" s="36" t="str">
        <x:v>Ready</x:v>
      </x:c>
      <x:c r="F12" s="37" t="n">
        <x:f>COUNTIFS('Source Matrix'!$F$7:$F$41,"2.7 Evaluation and Reliability")</x:f>
        <x:v>7</x:v>
      </x:c>
      <x:c r="G12" s="37" t="n">
        <x:v>7</x:v>
      </x:c>
      <x:c r="H12" s="36" t="str">
        <x:v>Draft after final metadata verification.</x:v>
      </x:c>
    </x:row>
    <x:row r="13" ht="70" customHeight="1">
      <x:c r="A13" s="38" t="str">
        <x:v>2.8 Systems and Prototype Context</x:v>
      </x:c>
      <x:c r="B13" s="39" t="str">
        <x:v>Prototype as an implementation layer for the research pipeline.</x:v>
      </x:c>
      <x:c r="C13" s="39" t="str">
        <x:v>Kreuzberger et al.; Ruf et al.; Pineau et al.</x:v>
      </x:c>
      <x:c r="D13" s="39" t="str">
        <x:v>2 MLOps or system-workflow anchors plus 1 reproducibility source</x:v>
      </x:c>
      <x:c r="E13" s="39" t="str">
        <x:v>Ready; keep prototype scope limited</x:v>
      </x:c>
      <x:c r="F13" s="40" t="n">
        <x:f>COUNTIFS('Source Matrix'!$F$7:$F$41,"2.8 Systems and Prototype Context")</x:f>
        <x:v>3</x:v>
      </x:c>
      <x:c r="G13" s="40" t="n">
        <x:v>8</x:v>
      </x:c>
      <x:c r="H13" s="39" t="str">
        <x:v>Draft the prototype as a thin, traceable interface around the fixed research pipeline.</x:v>
      </x:c>
    </x:row>
    <x:row r="14" ht="70" customHeight="1">
      <x:c r="A14" s="35" t="str">
        <x:v>2.9 Synthesis</x:v>
      </x:c>
      <x:c r="B14" s="36" t="str">
        <x:v>Integrate evidence across detection, localization, features, classifiers, and evaluation.</x:v>
      </x:c>
      <x:c r="C14" s="36" t="str">
        <x:v>Use cited anchors from 2.2–2.7.</x:v>
      </x:c>
      <x:c r="D14" s="36" t="str">
        <x:v>No new source quota</x:v>
      </x:c>
      <x:c r="E14" s="36" t="str">
        <x:v>Ready after drafting themes</x:v>
      </x:c>
      <x:c r="F14" s="37" t="n">
        <x:f>COUNTIFS('Source Matrix'!$F$7:$F$41,"2.9 Synthesis")</x:f>
        <x:v>0</x:v>
      </x:c>
      <x:c r="G14" s="37" t="n">
        <x:v>9</x:v>
      </x:c>
      <x:c r="H14" s="36" t="str">
        <x:v>Draft after final metadata verification.</x:v>
      </x:c>
    </x:row>
    <x:row r="15" ht="70" customHeight="1">
      <x:c r="A15" s="38" t="str">
        <x:v>2.10 Research Gap and Contribution</x:v>
      </x:c>
      <x:c r="B15" s="39" t="str">
        <x:v>State limited prior integration of localized non-semantic text features with traditional ML.</x:v>
      </x:c>
      <x:c r="C15" s="39" t="str">
        <x:v>TextFake; Chai et al.; CG-DIQA; DBNet++; Greiner and Tuba</x:v>
      </x:c>
      <x:c r="D15" s="39" t="str">
        <x:v>Use cautious novelty language</x:v>
      </x:c>
      <x:c r="E15" s="39" t="str">
        <x:v>Ready with caution</x:v>
      </x:c>
      <x:c r="F15" s="40" t="n">
        <x:f>COUNTIFS('Source Matrix'!$F$7:$F$41,"2.10 Research Gap and Contribution")</x:f>
        <x:v>0</x:v>
      </x:c>
      <x:c r="G15" s="40" t="n">
        <x:v>10</x:v>
      </x:c>
      <x:c r="H15" s="39" t="str">
        <x:v>Draft after final metadata verification.</x:v>
      </x:c>
    </x:row>
    <x:row r="16" ht="70" customHeight="1">
      <x:c r="A16" s="35" t="str">
        <x:v>2.11 Conceptual Framework</x:v>
      </x:c>
      <x:c r="B16" s="36" t="str">
        <x:v>Images → localization → visual feature extraction → aggregation → LR/SVM/RF → evaluation.</x:v>
      </x:c>
      <x:c r="C16" s="36" t="str">
        <x:v>Use method and evaluation sources already assigned.</x:v>
      </x:c>
      <x:c r="D16" s="36" t="str">
        <x:v>No new source quota unless institutional guide requires theoretical grounding.</x:v>
      </x:c>
      <x:c r="E16" s="36" t="str">
        <x:v>Ready</x:v>
      </x:c>
      <x:c r="F16" s="37" t="n">
        <x:f>COUNTIFS('Source Matrix'!$F$7:$F$41,"2.11 Conceptual Framework")</x:f>
        <x:v>0</x:v>
      </x:c>
      <x:c r="G16" s="37" t="n">
        <x:v>11</x:v>
      </x:c>
      <x:c r="H16" s="36" t="str">
        <x:v>Draft after final metadata verification.</x:v>
      </x:c>
    </x:row>
    <x:row r="17" ht="70" customHeight="1">
      <x:c r="A17" s="38" t="str">
        <x:v>2.12 Chapter Summary</x:v>
      </x:c>
      <x:c r="B17" s="39" t="str">
        <x:v>Summarize evidence and bridge to methodology.</x:v>
      </x:c>
      <x:c r="C17" s="39" t="str">
        <x:v>No new citations unless needed to avoid an unsupported claim.</x:v>
      </x:c>
      <x:c r="D17" s="39" t="str">
        <x:v>Synthesis only</x:v>
      </x:c>
      <x:c r="E17" s="39" t="str">
        <x:v>Ready after full draft</x:v>
      </x:c>
      <x:c r="F17" s="40" t="n">
        <x:f>COUNTIFS('Source Matrix'!$F$7:$F$41,"2.12 Chapter Summary")</x:f>
        <x:v>0</x:v>
      </x:c>
      <x:c r="G17" s="40" t="n">
        <x:v>12</x:v>
      </x:c>
      <x:c r="H17" s="39" t="str">
        <x:v>Draft after final metadata verification.</x:v>
      </x:c>
    </x:row>
    <x:row r="20">
      <x:c r="A20" s="42" t="str">
        <x:v>Research gap evidence map</x:v>
      </x:c>
      <x:c r="B20" s="42"/>
      <x:c r="C20" s="42"/>
      <x:c r="D20" s="42"/>
      <x:c r="E20" s="42"/>
      <x:c r="F20" s="42"/>
      <x:c r="G20" s="42"/>
      <x:c r="H20" s="42"/>
    </x:row>
    <x:row r="21" ht="54" customHeight="1">
      <x:c r="A21" s="43" t="str">
        <x:v>Evidence base</x:v>
      </x:c>
      <x:c r="B21" s="43" t="str">
        <x:v>General synthetic-image artifacts</x:v>
      </x:c>
      <x:c r="C21" s="43" t="str">
        <x:v>Localized patch-based cues</x:v>
      </x:c>
      <x:c r="D21" s="43" t="str">
        <x:v>Scene-text detection</x:v>
      </x:c>
      <x:c r="E21" s="43" t="str">
        <x:v>Character-centered quality features</x:v>
      </x:c>
      <x:c r="F21" s="43" t="str">
        <x:v>Unaddressed integration</x:v>
      </x:c>
      <x:c r="G21" s="43" t="str">
        <x:v>Localized non-semantic text features</x:v>
      </x:c>
      <x:c r="H21" s="43" t="str">
        <x:v>Traditional ML real-versus-AI classification</x:v>
      </x:c>
    </x:row>
    <x:row r="22" ht="54" customHeight="1">
      <x:c r="A22" s="44" t="str">
        <x:v>Caution</x:v>
      </x:c>
      <x:c r="B22" s="44" t="str">
        <x:v>TextFake directly studies text-rich images</x:v>
      </x:c>
      <x:c r="C22" s="44" t="str">
        <x:v>Currently verified as a preprint</x:v>
      </x:c>
      <x:c r="D22" s="44" t="str">
        <x:v>Does not use the proposed pipeline</x:v>
      </x:c>
      <x:c r="E22" s="44" t="str">
        <x:v>Do not claim that no prior work exists</x:v>
      </x:c>
      <x:c r="F22" s="44" t="str">
        <x:v>Use ‘limited attention’ wording</x:v>
      </x:c>
      <x:c r="G22" s="44" t="str">
        <x:v>Recheck publication status before submission</x:v>
      </x:c>
      <x:c r="H22" s="44"/>
    </x:row>
  </x:sheetData>
  <x:conditionalFormatting sqref="E6:E17">
    <x:cfRule type="containsText" dxfId="3" priority="1" operator="containsText" text="Gap"/>
    <x:cfRule type="containsText" dxfId="4" priority="2" operator="containsText" text="Ready"/>
  </x:conditionalFormatting>
  <x:pageMargins left="0.7" right="0.7" top="0.75" bottom="0.75" header="0.3" footer="0.3"/>
</x:worksheet>
</file>